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и" sheetId="1" state="visible" r:id="rId1"/>
    <sheet name="Съставки" sheetId="2" state="visible" r:id="rId2"/>
    <sheet name="Кухненска_карта" sheetId="3" state="visible" r:id="rId3"/>
    <sheet name="Рецепти" sheetId="4" state="visible" r:id="rId4"/>
    <sheet name="Ценообразуване" sheetId="5" state="visible" r:id="rId5"/>
    <sheet name="Мен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лв&quot;"/>
    <numFmt numFmtId="165" formatCode="0.000"/>
    <numFmt numFmtId="166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7F7F7F"/>
      <sz val="9"/>
    </font>
    <font>
      <name val="Arial"/>
      <b val="1"/>
      <color rgb="00FFFFFF"/>
      <sz val="12"/>
    </font>
    <font>
      <name val="Arial"/>
      <b val="1"/>
      <color rgb="001F4E78"/>
      <sz val="10"/>
    </font>
    <font>
      <name val="Arial"/>
      <b val="1"/>
      <color rgb="001F4E78"/>
      <sz val="9"/>
    </font>
    <font>
      <name val="Arial"/>
      <color rgb="007F7F7F"/>
      <sz val="9"/>
    </font>
    <font>
      <name val="Arial"/>
      <color rgb="00000000"/>
      <sz val="10"/>
    </font>
    <font>
      <name val="Arial"/>
      <b val="1"/>
      <color rgb="001F4E78"/>
      <sz val="1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99"/>
      </patternFill>
    </fill>
    <fill>
      <patternFill patternType="solid">
        <fgColor rgb="00FCE4D6"/>
      </patternFill>
    </fill>
    <fill>
      <patternFill patternType="solid">
        <fgColor rgb="002E5395"/>
      </patternFill>
    </fill>
    <fill>
      <patternFill patternType="solid">
        <fgColor rgb="00EAF1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5" fillId="3" borderId="1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6" fillId="0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8" fillId="6" borderId="0" pivotButton="0" quotePrefix="0" xfId="0"/>
    <xf numFmtId="0" fontId="2" fillId="6" borderId="0" pivotButton="0" quotePrefix="0" xfId="0"/>
    <xf numFmtId="0" fontId="11" fillId="6" borderId="0" pivotButton="0" quotePrefix="0" xfId="0"/>
    <xf numFmtId="164" fontId="11" fillId="6" borderId="0" pivotButton="0" quotePrefix="0" xfId="0"/>
    <xf numFmtId="0" fontId="6" fillId="0" borderId="0" applyAlignment="1" pivotButton="0" quotePrefix="0" xfId="0">
      <alignment vertical="top" wrapText="1"/>
    </xf>
    <xf numFmtId="0" fontId="9" fillId="7" borderId="1" applyAlignment="1" pivotButton="0" quotePrefix="0" xfId="0">
      <alignment horizontal="center" wrapText="1"/>
    </xf>
    <xf numFmtId="0" fontId="10" fillId="0" borderId="1" pivotButton="0" quotePrefix="0" xfId="0"/>
    <xf numFmtId="165" fontId="5" fillId="3" borderId="1" pivotButton="0" quotePrefix="0" xfId="0"/>
    <xf numFmtId="0" fontId="11" fillId="0" borderId="1" pivotButton="0" quotePrefix="0" xfId="0"/>
    <xf numFmtId="164" fontId="11" fillId="0" borderId="1" pivotButton="0" quotePrefix="0" xfId="0"/>
    <xf numFmtId="0" fontId="3" fillId="4" borderId="0" applyAlignment="1" pivotButton="0" quotePrefix="0" xfId="0">
      <alignment horizontal="right"/>
    </xf>
    <xf numFmtId="164" fontId="3" fillId="4" borderId="0" pivotButton="0" quotePrefix="0" xfId="0"/>
    <xf numFmtId="0" fontId="2" fillId="0" borderId="1" applyAlignment="1" pivotButton="0" quotePrefix="0" xfId="0">
      <alignment wrapText="1"/>
    </xf>
    <xf numFmtId="0" fontId="5" fillId="3" borderId="1" pivotButton="0" quotePrefix="0" xfId="0"/>
    <xf numFmtId="0" fontId="3" fillId="0" borderId="0" pivotButton="0" quotePrefix="0" xfId="0"/>
    <xf numFmtId="9" fontId="5" fillId="3" borderId="0" pivotButton="0" quotePrefix="0" xfId="0"/>
    <xf numFmtId="9" fontId="11" fillId="0" borderId="1" pivotButton="0" quotePrefix="0" xfId="0"/>
    <xf numFmtId="166" fontId="11" fillId="0" borderId="1" pivotButton="0" quotePrefix="0" xfId="0"/>
    <xf numFmtId="0" fontId="12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left" indent="1"/>
    </xf>
    <xf numFmtId="0" fontId="6" fillId="0" borderId="0" applyAlignment="1" pivotButton="0" quotePrefix="0" xfId="0">
      <alignment wrapText="1"/>
    </xf>
    <xf numFmtId="16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Рецептурник и себестойност — как се ползва</t>
        </is>
      </c>
    </row>
    <row r="4" ht="15" customHeight="1">
      <c r="B4" s="2" t="inlineStr"/>
    </row>
    <row r="5" ht="15" customHeight="1">
      <c r="B5" s="2" t="inlineStr">
        <is>
          <t>Този файл е шаблон. Съдържа примерни турски ястия за Бяла къща (Балчик) — заменете ги с реалните рецепти и текущите доставни цени на съставките.</t>
        </is>
      </c>
    </row>
    <row r="6" ht="15" customHeight="1">
      <c r="B6" s="2" t="inlineStr"/>
    </row>
    <row r="7" ht="15" customHeight="1">
      <c r="B7" s="3" t="inlineStr">
        <is>
          <t>Цветен код:</t>
        </is>
      </c>
    </row>
    <row r="8" ht="15" customHeight="1">
      <c r="B8" s="2" t="inlineStr">
        <is>
          <t xml:space="preserve">  •  Жълто/синьо = клетки за въвеждане (тук пишеш ти или собственикът)</t>
        </is>
      </c>
    </row>
    <row r="9" ht="15" customHeight="1">
      <c r="B9" s="2" t="inlineStr">
        <is>
          <t xml:space="preserve">  •  Черно = формула — смята се автоматично, не се пипа на ръка</t>
        </is>
      </c>
    </row>
    <row r="10" ht="15" customHeight="1">
      <c r="B10" s="2" t="inlineStr"/>
    </row>
    <row r="11" ht="15" customHeight="1">
      <c r="B11" s="3" t="inlineStr">
        <is>
          <t>Листове, по ред:</t>
        </is>
      </c>
    </row>
    <row r="12" ht="15" customHeight="1">
      <c r="B12" s="2" t="inlineStr">
        <is>
          <t xml:space="preserve">  1. Съставки — списък на всички съставки, цена за единица и алергени. Тръгва оттук — първо въведи актуалните доставни цени.</t>
        </is>
      </c>
    </row>
    <row r="13" ht="15" customHeight="1">
      <c r="B13" s="2" t="inlineStr">
        <is>
          <t xml:space="preserve">  2. Кухненска_карта — за всяко ястие: съставки, количества и начин на приготвяне. Себестойността се смята автоматично при промяна на количество или цена в 'Съставки'.</t>
        </is>
      </c>
    </row>
    <row r="14" ht="15" customHeight="1">
      <c r="B14" s="2" t="inlineStr">
        <is>
          <t xml:space="preserve">  3. Рецепти — обобщена картина за всяко ястие: себестойност/порция, алергени (автоматично изведени от съставките), описание за менюто.</t>
        </is>
      </c>
    </row>
    <row r="15" ht="15" customHeight="1">
      <c r="B15" s="2" t="inlineStr">
        <is>
          <t xml:space="preserve">  4. Ценообразуване — задай целеви food cost % (горе вляво) — получаваш предложена продажна цена. Въведи и актуалната цена от менюто, за да видиш реалния % и дали е над таргета.</t>
        </is>
      </c>
    </row>
    <row r="16" ht="15" customHeight="1">
      <c r="B16" s="2" t="inlineStr">
        <is>
          <t xml:space="preserve">  5. Меню — клиентска версия за печат, групирана по категории, без себестойност.</t>
        </is>
      </c>
    </row>
    <row r="17" ht="15" customHeight="1">
      <c r="B17" s="2" t="inlineStr"/>
    </row>
    <row r="18" ht="15" customHeight="1">
      <c r="B18" s="3" t="inlineStr">
        <is>
          <t>Как да добавиш ново ястие:</t>
        </is>
      </c>
    </row>
    <row r="19" ht="15" customHeight="1">
      <c r="B19" s="2" t="inlineStr">
        <is>
          <t xml:space="preserve">  1. Ако използваш нова съставка, добави я първо в 'Съставки'.</t>
        </is>
      </c>
    </row>
    <row r="20" ht="15" customHeight="1">
      <c r="B20" s="2" t="inlineStr">
        <is>
          <t xml:space="preserve">  2. Добави ред(ове) в 'Кухненска_карта' по образеца на съществуващите ястия (същото име на ястие във всеки ред със съставка за него).</t>
        </is>
      </c>
    </row>
    <row r="21" ht="15" customHeight="1">
      <c r="B21" s="2" t="inlineStr">
        <is>
          <t xml:space="preserve">  3. Добави един ред в 'Рецепти' с името, категорията, порциите и описанието.</t>
        </is>
      </c>
    </row>
    <row r="22" ht="15" customHeight="1">
      <c r="B22" s="2" t="inlineStr">
        <is>
          <t xml:space="preserve">  4. Добави ред в 'Ценообразуване' и въведи актуалната цена.</t>
        </is>
      </c>
    </row>
    <row r="23" ht="15" customHeight="1">
      <c r="B23" s="2" t="inlineStr">
        <is>
          <t xml:space="preserve">  5. Добави реда в 'Меню' на правилното място по категория.</t>
        </is>
      </c>
    </row>
    <row r="24" ht="15" customHeight="1">
      <c r="B24" s="2" t="inlineStr"/>
    </row>
    <row r="25" ht="15" customHeight="1">
      <c r="B25" s="2" t="inlineStr">
        <is>
          <t>Алергенната информация следва Регламент (ЕС) № 1169/2011, Приложение II (14-те основни алергена). Проверявай я — автоматичното извеждане е само толкова точно, колкото маркировките, въведени в 'Съставки'.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Име на съставка</t>
        </is>
      </c>
      <c r="B1" s="4" t="inlineStr">
        <is>
          <t>Мерна единица</t>
        </is>
      </c>
      <c r="C1" s="4" t="inlineStr">
        <is>
          <t>Цена/единица (лв)</t>
        </is>
      </c>
      <c r="D1" s="4" t="inlineStr">
        <is>
          <t>Доставчик</t>
        </is>
      </c>
      <c r="E1" s="4" t="inlineStr">
        <is>
          <t>Глутен</t>
        </is>
      </c>
      <c r="F1" s="4" t="inlineStr">
        <is>
          <t>Ракообразни</t>
        </is>
      </c>
      <c r="G1" s="4" t="inlineStr">
        <is>
          <t>Яйца</t>
        </is>
      </c>
      <c r="H1" s="4" t="inlineStr">
        <is>
          <t>Риба</t>
        </is>
      </c>
      <c r="I1" s="4" t="inlineStr">
        <is>
          <t>Фъстъци</t>
        </is>
      </c>
      <c r="J1" s="4" t="inlineStr">
        <is>
          <t>Соя</t>
        </is>
      </c>
      <c r="K1" s="4" t="inlineStr">
        <is>
          <t>Мляко</t>
        </is>
      </c>
      <c r="L1" s="4" t="inlineStr">
        <is>
          <t>Ядки</t>
        </is>
      </c>
      <c r="M1" s="4" t="inlineStr">
        <is>
          <t>Целина</t>
        </is>
      </c>
      <c r="N1" s="4" t="inlineStr">
        <is>
          <t>Синап</t>
        </is>
      </c>
      <c r="O1" s="4" t="inlineStr">
        <is>
          <t>Сусам</t>
        </is>
      </c>
      <c r="P1" s="4" t="inlineStr">
        <is>
          <t>Серен диоксид/сулфити</t>
        </is>
      </c>
      <c r="Q1" s="4" t="inlineStr">
        <is>
          <t>Лупина</t>
        </is>
      </c>
      <c r="R1" s="4" t="inlineStr">
        <is>
          <t>Мекотели</t>
        </is>
      </c>
    </row>
    <row r="2">
      <c r="A2" s="5" t="inlineStr">
        <is>
          <t>Агнешко месо</t>
        </is>
      </c>
      <c r="B2" s="5" t="inlineStr">
        <is>
          <t>кг</t>
        </is>
      </c>
      <c r="C2" s="6" t="n">
        <v>24</v>
      </c>
      <c r="D2" s="5" t="inlineStr">
        <is>
          <t>Месокомбинат Балчик</t>
        </is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</row>
    <row r="3">
      <c r="A3" s="5" t="inlineStr">
        <is>
          <t>Телешко месо кайма</t>
        </is>
      </c>
      <c r="B3" s="5" t="inlineStr">
        <is>
          <t>кг</t>
        </is>
      </c>
      <c r="C3" s="6" t="n">
        <v>18</v>
      </c>
      <c r="D3" s="5" t="inlineStr">
        <is>
          <t>Месокомбинат Балчик</t>
        </is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</row>
    <row r="4">
      <c r="A4" s="5" t="inlineStr">
        <is>
          <t>Телешко месо (филе за дюнер)</t>
        </is>
      </c>
      <c r="B4" s="5" t="inlineStr">
        <is>
          <t>кг</t>
        </is>
      </c>
      <c r="C4" s="6" t="n">
        <v>26</v>
      </c>
      <c r="D4" s="5" t="inlineStr">
        <is>
          <t>Месокомбинат Балчик</t>
        </is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</row>
    <row r="5">
      <c r="A5" s="5" t="inlineStr">
        <is>
          <t>Пилешко филе</t>
        </is>
      </c>
      <c r="B5" s="5" t="inlineStr">
        <is>
          <t>кг</t>
        </is>
      </c>
      <c r="C5" s="6" t="n">
        <v>12</v>
      </c>
      <c r="D5" s="5" t="inlineStr">
        <is>
          <t>Месокомбинат Балчик</t>
        </is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</row>
    <row r="6">
      <c r="A6" s="5" t="inlineStr">
        <is>
          <t>Кисело мляко</t>
        </is>
      </c>
      <c r="B6" s="5" t="inlineStr">
        <is>
          <t>кг</t>
        </is>
      </c>
      <c r="C6" s="6" t="n">
        <v>4.5</v>
      </c>
      <c r="D6" s="5" t="inlineStr">
        <is>
          <t>Мандра Добрич</t>
        </is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8" t="n">
        <v>1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</row>
    <row r="7">
      <c r="A7" s="5" t="inlineStr">
        <is>
          <t>Домати</t>
        </is>
      </c>
      <c r="B7" s="5" t="inlineStr">
        <is>
          <t>кг</t>
        </is>
      </c>
      <c r="C7" s="6" t="n">
        <v>3.2</v>
      </c>
      <c r="D7" s="5" t="inlineStr">
        <is>
          <t>Зеленчуци Балчик</t>
        </is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</row>
    <row r="8">
      <c r="A8" s="5" t="inlineStr">
        <is>
          <t>Краставици</t>
        </is>
      </c>
      <c r="B8" s="5" t="inlineStr">
        <is>
          <t>кг</t>
        </is>
      </c>
      <c r="C8" s="6" t="n">
        <v>2.8</v>
      </c>
      <c r="D8" s="5" t="inlineStr">
        <is>
          <t>Зеленчуци Балчик</t>
        </is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</row>
    <row r="9">
      <c r="A9" s="5" t="inlineStr">
        <is>
          <t>Червен лук</t>
        </is>
      </c>
      <c r="B9" s="5" t="inlineStr">
        <is>
          <t>кг</t>
        </is>
      </c>
      <c r="C9" s="6" t="n">
        <v>2</v>
      </c>
      <c r="D9" s="5" t="inlineStr">
        <is>
          <t>Зеленчуци Балчик</t>
        </is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</row>
    <row r="10">
      <c r="A10" s="5" t="inlineStr">
        <is>
          <t>Чесън</t>
        </is>
      </c>
      <c r="B10" s="5" t="inlineStr">
        <is>
          <t>кг</t>
        </is>
      </c>
      <c r="C10" s="6" t="n">
        <v>8</v>
      </c>
      <c r="D10" s="5" t="inlineStr">
        <is>
          <t>Зеленчуци Балчик</t>
        </is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</row>
    <row r="11">
      <c r="A11" s="5" t="inlineStr">
        <is>
          <t>Червена леща</t>
        </is>
      </c>
      <c r="B11" s="5" t="inlineStr">
        <is>
          <t>кг</t>
        </is>
      </c>
      <c r="C11" s="6" t="n">
        <v>4.2</v>
      </c>
      <c r="D11" s="5" t="inlineStr">
        <is>
          <t>Метро</t>
        </is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</row>
    <row r="12">
      <c r="A12" s="5" t="inlineStr">
        <is>
          <t>Булгур</t>
        </is>
      </c>
      <c r="B12" s="5" t="inlineStr">
        <is>
          <t>кг</t>
        </is>
      </c>
      <c r="C12" s="6" t="n">
        <v>3.5</v>
      </c>
      <c r="D12" s="5" t="inlineStr">
        <is>
          <t>Метро</t>
        </is>
      </c>
      <c r="E12" s="8" t="n">
        <v>1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</row>
    <row r="13">
      <c r="A13" s="5" t="inlineStr">
        <is>
          <t>Домат паста</t>
        </is>
      </c>
      <c r="B13" s="5" t="inlineStr">
        <is>
          <t>кг</t>
        </is>
      </c>
      <c r="C13" s="6" t="n">
        <v>6</v>
      </c>
      <c r="D13" s="5" t="inlineStr">
        <is>
          <t>Метро</t>
        </is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</row>
    <row r="14">
      <c r="A14" s="5" t="inlineStr">
        <is>
          <t>Пшенично брашно</t>
        </is>
      </c>
      <c r="B14" s="5" t="inlineStr">
        <is>
          <t>кг</t>
        </is>
      </c>
      <c r="C14" s="6" t="n">
        <v>1.8</v>
      </c>
      <c r="D14" s="5" t="inlineStr">
        <is>
          <t>Метро</t>
        </is>
      </c>
      <c r="E14" s="8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</row>
    <row r="15">
      <c r="A15" s="5" t="inlineStr">
        <is>
          <t>Яйца</t>
        </is>
      </c>
      <c r="B15" s="5" t="inlineStr">
        <is>
          <t>бр</t>
        </is>
      </c>
      <c r="C15" s="6" t="n">
        <v>0.35</v>
      </c>
      <c r="D15" s="5" t="inlineStr">
        <is>
          <t>Местен производител</t>
        </is>
      </c>
      <c r="E15" s="7" t="n">
        <v>0</v>
      </c>
      <c r="F15" s="7" t="n">
        <v>0</v>
      </c>
      <c r="G15" s="8" t="n">
        <v>1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</row>
    <row r="16">
      <c r="A16" s="5" t="inlineStr">
        <is>
          <t>Масло</t>
        </is>
      </c>
      <c r="B16" s="5" t="inlineStr">
        <is>
          <t>кг</t>
        </is>
      </c>
      <c r="C16" s="6" t="n">
        <v>14</v>
      </c>
      <c r="D16" s="5" t="inlineStr">
        <is>
          <t>Мандра Добрич</t>
        </is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8" t="n">
        <v>1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</row>
    <row r="17">
      <c r="A17" s="5" t="inlineStr">
        <is>
          <t>Олио</t>
        </is>
      </c>
      <c r="B17" s="5" t="inlineStr">
        <is>
          <t>л</t>
        </is>
      </c>
      <c r="C17" s="6" t="n">
        <v>4.5</v>
      </c>
      <c r="D17" s="5" t="inlineStr">
        <is>
          <t>Метро</t>
        </is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</row>
    <row r="18">
      <c r="A18" s="5" t="inlineStr">
        <is>
          <t>Сирене кашкавал</t>
        </is>
      </c>
      <c r="B18" s="5" t="inlineStr">
        <is>
          <t>кг</t>
        </is>
      </c>
      <c r="C18" s="6" t="n">
        <v>16</v>
      </c>
      <c r="D18" s="5" t="inlineStr">
        <is>
          <t>Мандра Добрич</t>
        </is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8" t="n">
        <v>1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</row>
    <row r="19">
      <c r="A19" s="5" t="inlineStr">
        <is>
          <t>Сирене телемея</t>
        </is>
      </c>
      <c r="B19" s="5" t="inlineStr">
        <is>
          <t>кг</t>
        </is>
      </c>
      <c r="C19" s="6" t="n">
        <v>15</v>
      </c>
      <c r="D19" s="5" t="inlineStr">
        <is>
          <t>Мандра Добрич</t>
        </is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8" t="n">
        <v>1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</row>
    <row r="20">
      <c r="A20" s="5" t="inlineStr">
        <is>
          <t>Пита хляб</t>
        </is>
      </c>
      <c r="B20" s="5" t="inlineStr">
        <is>
          <t>бр</t>
        </is>
      </c>
      <c r="C20" s="6" t="n">
        <v>0.8</v>
      </c>
      <c r="D20" s="5" t="inlineStr">
        <is>
          <t>Местна пекарна</t>
        </is>
      </c>
      <c r="E20" s="8" t="n">
        <v>1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</row>
    <row r="21">
      <c r="A21" s="5" t="inlineStr">
        <is>
          <t>Ориз</t>
        </is>
      </c>
      <c r="B21" s="5" t="inlineStr">
        <is>
          <t>кг</t>
        </is>
      </c>
      <c r="C21" s="6" t="n">
        <v>3</v>
      </c>
      <c r="D21" s="5" t="inlineStr">
        <is>
          <t>Метро</t>
        </is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</row>
    <row r="22">
      <c r="A22" s="5" t="inlineStr">
        <is>
          <t>Орехи</t>
        </is>
      </c>
      <c r="B22" s="5" t="inlineStr">
        <is>
          <t>кг</t>
        </is>
      </c>
      <c r="C22" s="6" t="n">
        <v>22</v>
      </c>
      <c r="D22" s="5" t="inlineStr">
        <is>
          <t>Метро</t>
        </is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8" t="n">
        <v>1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</row>
    <row r="23">
      <c r="A23" s="5" t="inlineStr">
        <is>
          <t>Захар</t>
        </is>
      </c>
      <c r="B23" s="5" t="inlineStr">
        <is>
          <t>кг</t>
        </is>
      </c>
      <c r="C23" s="6" t="n">
        <v>2.2</v>
      </c>
      <c r="D23" s="5" t="inlineStr">
        <is>
          <t>Метро</t>
        </is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</row>
    <row r="24">
      <c r="A24" s="5" t="inlineStr">
        <is>
          <t>Мед/сироп</t>
        </is>
      </c>
      <c r="B24" s="5" t="inlineStr">
        <is>
          <t>кг</t>
        </is>
      </c>
      <c r="C24" s="6" t="n">
        <v>9</v>
      </c>
      <c r="D24" s="5" t="inlineStr">
        <is>
          <t>Местен пчелар</t>
        </is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</row>
    <row r="25">
      <c r="A25" s="5" t="inlineStr">
        <is>
          <t>Фило тесто</t>
        </is>
      </c>
      <c r="B25" s="5" t="inlineStr">
        <is>
          <t>кг</t>
        </is>
      </c>
      <c r="C25" s="6" t="n">
        <v>12</v>
      </c>
      <c r="D25" s="5" t="inlineStr">
        <is>
          <t>Местна пекарна</t>
        </is>
      </c>
      <c r="E25" s="8" t="n">
        <v>1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</row>
    <row r="26">
      <c r="A26" s="5" t="inlineStr">
        <is>
          <t>Кафе турско мляно</t>
        </is>
      </c>
      <c r="B26" s="5" t="inlineStr">
        <is>
          <t>кг</t>
        </is>
      </c>
      <c r="C26" s="6" t="n">
        <v>28</v>
      </c>
      <c r="D26" s="5" t="inlineStr">
        <is>
          <t>Метро</t>
        </is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</row>
    <row r="27">
      <c r="A27" s="5" t="inlineStr">
        <is>
          <t>Вода</t>
        </is>
      </c>
      <c r="B27" s="5" t="inlineStr">
        <is>
          <t>л</t>
        </is>
      </c>
      <c r="C27" s="6" t="n">
        <v>0.05</v>
      </c>
      <c r="D27" s="5" t="inlineStr">
        <is>
          <t>-</t>
        </is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</row>
    <row r="28">
      <c r="A28" s="5" t="inlineStr">
        <is>
          <t>Сол</t>
        </is>
      </c>
      <c r="B28" s="5" t="inlineStr">
        <is>
          <t>кг</t>
        </is>
      </c>
      <c r="C28" s="6" t="n">
        <v>1.2</v>
      </c>
      <c r="D28" s="5" t="inlineStr">
        <is>
          <t>Метро</t>
        </is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</row>
    <row r="29">
      <c r="A29" s="5" t="inlineStr">
        <is>
          <t>Черен пипер</t>
        </is>
      </c>
      <c r="B29" s="5" t="inlineStr">
        <is>
          <t>кг</t>
        </is>
      </c>
      <c r="C29" s="6" t="n">
        <v>25</v>
      </c>
      <c r="D29" s="5" t="inlineStr">
        <is>
          <t>Метро</t>
        </is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</row>
    <row r="30">
      <c r="A30" s="5" t="inlineStr">
        <is>
          <t>Червен пипер (лют)</t>
        </is>
      </c>
      <c r="B30" s="5" t="inlineStr">
        <is>
          <t>кг</t>
        </is>
      </c>
      <c r="C30" s="6" t="n">
        <v>20</v>
      </c>
      <c r="D30" s="5" t="inlineStr">
        <is>
          <t>Метро</t>
        </is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</row>
    <row r="31">
      <c r="A31" s="5" t="inlineStr">
        <is>
          <t>Червен пипер (сладък)</t>
        </is>
      </c>
      <c r="B31" s="5" t="inlineStr">
        <is>
          <t>кг</t>
        </is>
      </c>
      <c r="C31" s="6" t="n">
        <v>18</v>
      </c>
      <c r="D31" s="5" t="inlineStr">
        <is>
          <t>Метро</t>
        </is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</row>
    <row r="32">
      <c r="A32" s="5" t="inlineStr">
        <is>
          <t>Лимон</t>
        </is>
      </c>
      <c r="B32" s="5" t="inlineStr">
        <is>
          <t>кг</t>
        </is>
      </c>
      <c r="C32" s="6" t="n">
        <v>3.8</v>
      </c>
      <c r="D32" s="5" t="inlineStr">
        <is>
          <t>Зеленчуци Балчик</t>
        </is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</row>
    <row r="33">
      <c r="A33" s="5" t="inlineStr">
        <is>
          <t>Магданоз</t>
        </is>
      </c>
      <c r="B33" s="5" t="inlineStr">
        <is>
          <t>бр</t>
        </is>
      </c>
      <c r="C33" s="6" t="n">
        <v>1</v>
      </c>
      <c r="D33" s="5" t="inlineStr">
        <is>
          <t>Зеленчуци Балчик</t>
        </is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</row>
    <row r="34">
      <c r="A34" s="5" t="inlineStr">
        <is>
          <t>Маслини</t>
        </is>
      </c>
      <c r="B34" s="5" t="inlineStr">
        <is>
          <t>кг</t>
        </is>
      </c>
      <c r="C34" s="6" t="n">
        <v>9</v>
      </c>
      <c r="D34" s="5" t="inlineStr">
        <is>
          <t>Метро</t>
        </is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</row>
    <row r="36">
      <c r="A36" s="9" t="inlineStr">
        <is>
          <t>Забележка: 1 = съдържа алергена, 0 = не съдържа. Колона C (жълто) е единственото, което трябва да обновяваш при промяна на доставна цена.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9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10" customWidth="1" min="4" max="4"/>
    <col width="14" customWidth="1" min="5" max="5"/>
    <col width="14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</cols>
  <sheetData>
    <row r="2" ht="20" customHeight="1">
      <c r="A2" s="10" t="inlineStr">
        <is>
          <t>Чорба Езогелин  /  Ezogelin Soup</t>
        </is>
      </c>
    </row>
    <row r="3">
      <c r="A3" s="11" t="inlineStr">
        <is>
          <t>Категория:</t>
        </is>
      </c>
      <c r="B3" s="12" t="inlineStr">
        <is>
          <t>Предястия</t>
        </is>
      </c>
      <c r="C3" s="11" t="inlineStr">
        <is>
          <t>Порции:</t>
        </is>
      </c>
      <c r="D3" s="13">
        <f>INDEX('Рецепти'!$E:$E,2)</f>
        <v/>
      </c>
      <c r="E3" s="11" t="inlineStr">
        <is>
          <t>Себестойност/порция:</t>
        </is>
      </c>
      <c r="F3" s="14">
        <f>INDEX('Рецепти'!$G:$G,2)</f>
        <v/>
      </c>
    </row>
    <row r="4" ht="30" customHeight="1">
      <c r="A4" s="15" t="inlineStr">
        <is>
          <t>Приготвяне: Задушете лука в маслото, добавете доматената паста, лещата и булгура. Залейте с вода и варете на слаб огън 25 мин. Овкусете с червен пипер и сол.</t>
        </is>
      </c>
    </row>
    <row r="5">
      <c r="A5" s="16" t="inlineStr">
        <is>
          <t>Ястие (за справка)</t>
        </is>
      </c>
      <c r="B5" s="16" t="inlineStr">
        <is>
          <t>Съставка</t>
        </is>
      </c>
      <c r="C5" s="16" t="inlineStr">
        <is>
          <t>Количество</t>
        </is>
      </c>
      <c r="D5" s="16" t="inlineStr">
        <is>
          <t>Мярка</t>
        </is>
      </c>
      <c r="E5" s="16" t="inlineStr">
        <is>
          <t>Цена/ед. (лв)</t>
        </is>
      </c>
      <c r="F5" s="16" t="inlineStr">
        <is>
          <t>Стойност (лв)</t>
        </is>
      </c>
    </row>
    <row r="6">
      <c r="A6" s="17" t="inlineStr">
        <is>
          <t>Чорба Езогелин</t>
        </is>
      </c>
      <c r="B6" s="5" t="inlineStr">
        <is>
          <t>Червена леща</t>
        </is>
      </c>
      <c r="C6" s="18" t="n">
        <v>0.4</v>
      </c>
      <c r="D6" s="19">
        <f>IF($B6="","",INDEX('Съставки'!$B$2:$B$34,MATCH($B6,'Съставки'!$A$2:$A$34,0)))</f>
        <v/>
      </c>
      <c r="E6" s="20">
        <f>IF($B6="","",INDEX('Съставки'!$C$2:$C$34,MATCH($B6,'Съставки'!$A$2:$A$34,0)))</f>
        <v/>
      </c>
      <c r="F6" s="20">
        <f>IF($B6="","",$C6*$E6)</f>
        <v/>
      </c>
      <c r="G6">
        <f>IF($B6="",0,INDEX('Съставки'!$E$2:$E$34,MATCH($B6,'Съставки'!$A$2:$A$34,0)))</f>
        <v/>
      </c>
      <c r="H6">
        <f>IF($B6="",0,INDEX('Съставки'!$F$2:$F$34,MATCH($B6,'Съставки'!$A$2:$A$34,0)))</f>
        <v/>
      </c>
      <c r="I6">
        <f>IF($B6="",0,INDEX('Съставки'!$G$2:$G$34,MATCH($B6,'Съставки'!$A$2:$A$34,0)))</f>
        <v/>
      </c>
      <c r="J6">
        <f>IF($B6="",0,INDEX('Съставки'!$H$2:$H$34,MATCH($B6,'Съставки'!$A$2:$A$34,0)))</f>
        <v/>
      </c>
      <c r="K6">
        <f>IF($B6="",0,INDEX('Съставки'!$I$2:$I$34,MATCH($B6,'Съставки'!$A$2:$A$34,0)))</f>
        <v/>
      </c>
      <c r="L6">
        <f>IF($B6="",0,INDEX('Съставки'!$J$2:$J$34,MATCH($B6,'Съставки'!$A$2:$A$34,0)))</f>
        <v/>
      </c>
      <c r="M6">
        <f>IF($B6="",0,INDEX('Съставки'!$K$2:$K$34,MATCH($B6,'Съставки'!$A$2:$A$34,0)))</f>
        <v/>
      </c>
      <c r="N6">
        <f>IF($B6="",0,INDEX('Съставки'!$L$2:$L$34,MATCH($B6,'Съставки'!$A$2:$A$34,0)))</f>
        <v/>
      </c>
      <c r="O6">
        <f>IF($B6="",0,INDEX('Съставки'!$M$2:$M$34,MATCH($B6,'Съставки'!$A$2:$A$34,0)))</f>
        <v/>
      </c>
      <c r="P6">
        <f>IF($B6="",0,INDEX('Съставки'!$N$2:$N$34,MATCH($B6,'Съставки'!$A$2:$A$34,0)))</f>
        <v/>
      </c>
      <c r="Q6">
        <f>IF($B6="",0,INDEX('Съставки'!$O$2:$O$34,MATCH($B6,'Съставки'!$A$2:$A$34,0)))</f>
        <v/>
      </c>
      <c r="R6">
        <f>IF($B6="",0,INDEX('Съставки'!$P$2:$P$34,MATCH($B6,'Съставки'!$A$2:$A$34,0)))</f>
        <v/>
      </c>
      <c r="S6">
        <f>IF($B6="",0,INDEX('Съставки'!$Q$2:$Q$34,MATCH($B6,'Съставки'!$A$2:$A$34,0)))</f>
        <v/>
      </c>
      <c r="T6">
        <f>IF($B6="",0,INDEX('Съставки'!$R$2:$R$34,MATCH($B6,'Съставки'!$A$2:$A$34,0)))</f>
        <v/>
      </c>
    </row>
    <row r="7">
      <c r="A7" s="17" t="inlineStr">
        <is>
          <t>Чорба Езогелин</t>
        </is>
      </c>
      <c r="B7" s="5" t="inlineStr">
        <is>
          <t>Булгур</t>
        </is>
      </c>
      <c r="C7" s="18" t="n">
        <v>0.1</v>
      </c>
      <c r="D7" s="19">
        <f>IF($B7="","",INDEX('Съставки'!$B$2:$B$34,MATCH($B7,'Съставки'!$A$2:$A$34,0)))</f>
        <v/>
      </c>
      <c r="E7" s="20">
        <f>IF($B7="","",INDEX('Съставки'!$C$2:$C$34,MATCH($B7,'Съставки'!$A$2:$A$34,0)))</f>
        <v/>
      </c>
      <c r="F7" s="20">
        <f>IF($B7="","",$C7*$E7)</f>
        <v/>
      </c>
      <c r="G7">
        <f>IF($B7="",0,INDEX('Съставки'!$E$2:$E$34,MATCH($B7,'Съставки'!$A$2:$A$34,0)))</f>
        <v/>
      </c>
      <c r="H7">
        <f>IF($B7="",0,INDEX('Съставки'!$F$2:$F$34,MATCH($B7,'Съставки'!$A$2:$A$34,0)))</f>
        <v/>
      </c>
      <c r="I7">
        <f>IF($B7="",0,INDEX('Съставки'!$G$2:$G$34,MATCH($B7,'Съставки'!$A$2:$A$34,0)))</f>
        <v/>
      </c>
      <c r="J7">
        <f>IF($B7="",0,INDEX('Съставки'!$H$2:$H$34,MATCH($B7,'Съставки'!$A$2:$A$34,0)))</f>
        <v/>
      </c>
      <c r="K7">
        <f>IF($B7="",0,INDEX('Съставки'!$I$2:$I$34,MATCH($B7,'Съставки'!$A$2:$A$34,0)))</f>
        <v/>
      </c>
      <c r="L7">
        <f>IF($B7="",0,INDEX('Съставки'!$J$2:$J$34,MATCH($B7,'Съставки'!$A$2:$A$34,0)))</f>
        <v/>
      </c>
      <c r="M7">
        <f>IF($B7="",0,INDEX('Съставки'!$K$2:$K$34,MATCH($B7,'Съставки'!$A$2:$A$34,0)))</f>
        <v/>
      </c>
      <c r="N7">
        <f>IF($B7="",0,INDEX('Съставки'!$L$2:$L$34,MATCH($B7,'Съставки'!$A$2:$A$34,0)))</f>
        <v/>
      </c>
      <c r="O7">
        <f>IF($B7="",0,INDEX('Съставки'!$M$2:$M$34,MATCH($B7,'Съставки'!$A$2:$A$34,0)))</f>
        <v/>
      </c>
      <c r="P7">
        <f>IF($B7="",0,INDEX('Съставки'!$N$2:$N$34,MATCH($B7,'Съставки'!$A$2:$A$34,0)))</f>
        <v/>
      </c>
      <c r="Q7">
        <f>IF($B7="",0,INDEX('Съставки'!$O$2:$O$34,MATCH($B7,'Съставки'!$A$2:$A$34,0)))</f>
        <v/>
      </c>
      <c r="R7">
        <f>IF($B7="",0,INDEX('Съставки'!$P$2:$P$34,MATCH($B7,'Съставки'!$A$2:$A$34,0)))</f>
        <v/>
      </c>
      <c r="S7">
        <f>IF($B7="",0,INDEX('Съставки'!$Q$2:$Q$34,MATCH($B7,'Съставки'!$A$2:$A$34,0)))</f>
        <v/>
      </c>
      <c r="T7">
        <f>IF($B7="",0,INDEX('Съставки'!$R$2:$R$34,MATCH($B7,'Съставки'!$A$2:$A$34,0)))</f>
        <v/>
      </c>
    </row>
    <row r="8">
      <c r="A8" s="17" t="inlineStr">
        <is>
          <t>Чорба Езогелин</t>
        </is>
      </c>
      <c r="B8" s="5" t="inlineStr">
        <is>
          <t>Червен лук</t>
        </is>
      </c>
      <c r="C8" s="18" t="n">
        <v>0.15</v>
      </c>
      <c r="D8" s="19">
        <f>IF($B8="","",INDEX('Съставки'!$B$2:$B$34,MATCH($B8,'Съставки'!$A$2:$A$34,0)))</f>
        <v/>
      </c>
      <c r="E8" s="20">
        <f>IF($B8="","",INDEX('Съставки'!$C$2:$C$34,MATCH($B8,'Съставки'!$A$2:$A$34,0)))</f>
        <v/>
      </c>
      <c r="F8" s="20">
        <f>IF($B8="","",$C8*$E8)</f>
        <v/>
      </c>
      <c r="G8">
        <f>IF($B8="",0,INDEX('Съставки'!$E$2:$E$34,MATCH($B8,'Съставки'!$A$2:$A$34,0)))</f>
        <v/>
      </c>
      <c r="H8">
        <f>IF($B8="",0,INDEX('Съставки'!$F$2:$F$34,MATCH($B8,'Съставки'!$A$2:$A$34,0)))</f>
        <v/>
      </c>
      <c r="I8">
        <f>IF($B8="",0,INDEX('Съставки'!$G$2:$G$34,MATCH($B8,'Съставки'!$A$2:$A$34,0)))</f>
        <v/>
      </c>
      <c r="J8">
        <f>IF($B8="",0,INDEX('Съставки'!$H$2:$H$34,MATCH($B8,'Съставки'!$A$2:$A$34,0)))</f>
        <v/>
      </c>
      <c r="K8">
        <f>IF($B8="",0,INDEX('Съставки'!$I$2:$I$34,MATCH($B8,'Съставки'!$A$2:$A$34,0)))</f>
        <v/>
      </c>
      <c r="L8">
        <f>IF($B8="",0,INDEX('Съставки'!$J$2:$J$34,MATCH($B8,'Съставки'!$A$2:$A$34,0)))</f>
        <v/>
      </c>
      <c r="M8">
        <f>IF($B8="",0,INDEX('Съставки'!$K$2:$K$34,MATCH($B8,'Съставки'!$A$2:$A$34,0)))</f>
        <v/>
      </c>
      <c r="N8">
        <f>IF($B8="",0,INDEX('Съставки'!$L$2:$L$34,MATCH($B8,'Съставки'!$A$2:$A$34,0)))</f>
        <v/>
      </c>
      <c r="O8">
        <f>IF($B8="",0,INDEX('Съставки'!$M$2:$M$34,MATCH($B8,'Съставки'!$A$2:$A$34,0)))</f>
        <v/>
      </c>
      <c r="P8">
        <f>IF($B8="",0,INDEX('Съставки'!$N$2:$N$34,MATCH($B8,'Съставки'!$A$2:$A$34,0)))</f>
        <v/>
      </c>
      <c r="Q8">
        <f>IF($B8="",0,INDEX('Съставки'!$O$2:$O$34,MATCH($B8,'Съставки'!$A$2:$A$34,0)))</f>
        <v/>
      </c>
      <c r="R8">
        <f>IF($B8="",0,INDEX('Съставки'!$P$2:$P$34,MATCH($B8,'Съставки'!$A$2:$A$34,0)))</f>
        <v/>
      </c>
      <c r="S8">
        <f>IF($B8="",0,INDEX('Съставки'!$Q$2:$Q$34,MATCH($B8,'Съставки'!$A$2:$A$34,0)))</f>
        <v/>
      </c>
      <c r="T8">
        <f>IF($B8="",0,INDEX('Съставки'!$R$2:$R$34,MATCH($B8,'Съставки'!$A$2:$A$34,0)))</f>
        <v/>
      </c>
    </row>
    <row r="9">
      <c r="A9" s="17" t="inlineStr">
        <is>
          <t>Чорба Езогелин</t>
        </is>
      </c>
      <c r="B9" s="5" t="inlineStr">
        <is>
          <t>Домат паста</t>
        </is>
      </c>
      <c r="C9" s="18" t="n">
        <v>0.08</v>
      </c>
      <c r="D9" s="19">
        <f>IF($B9="","",INDEX('Съставки'!$B$2:$B$34,MATCH($B9,'Съставки'!$A$2:$A$34,0)))</f>
        <v/>
      </c>
      <c r="E9" s="20">
        <f>IF($B9="","",INDEX('Съставки'!$C$2:$C$34,MATCH($B9,'Съставки'!$A$2:$A$34,0)))</f>
        <v/>
      </c>
      <c r="F9" s="20">
        <f>IF($B9="","",$C9*$E9)</f>
        <v/>
      </c>
      <c r="G9">
        <f>IF($B9="",0,INDEX('Съставки'!$E$2:$E$34,MATCH($B9,'Съставки'!$A$2:$A$34,0)))</f>
        <v/>
      </c>
      <c r="H9">
        <f>IF($B9="",0,INDEX('Съставки'!$F$2:$F$34,MATCH($B9,'Съставки'!$A$2:$A$34,0)))</f>
        <v/>
      </c>
      <c r="I9">
        <f>IF($B9="",0,INDEX('Съставки'!$G$2:$G$34,MATCH($B9,'Съставки'!$A$2:$A$34,0)))</f>
        <v/>
      </c>
      <c r="J9">
        <f>IF($B9="",0,INDEX('Съставки'!$H$2:$H$34,MATCH($B9,'Съставки'!$A$2:$A$34,0)))</f>
        <v/>
      </c>
      <c r="K9">
        <f>IF($B9="",0,INDEX('Съставки'!$I$2:$I$34,MATCH($B9,'Съставки'!$A$2:$A$34,0)))</f>
        <v/>
      </c>
      <c r="L9">
        <f>IF($B9="",0,INDEX('Съставки'!$J$2:$J$34,MATCH($B9,'Съставки'!$A$2:$A$34,0)))</f>
        <v/>
      </c>
      <c r="M9">
        <f>IF($B9="",0,INDEX('Съставки'!$K$2:$K$34,MATCH($B9,'Съставки'!$A$2:$A$34,0)))</f>
        <v/>
      </c>
      <c r="N9">
        <f>IF($B9="",0,INDEX('Съставки'!$L$2:$L$34,MATCH($B9,'Съставки'!$A$2:$A$34,0)))</f>
        <v/>
      </c>
      <c r="O9">
        <f>IF($B9="",0,INDEX('Съставки'!$M$2:$M$34,MATCH($B9,'Съставки'!$A$2:$A$34,0)))</f>
        <v/>
      </c>
      <c r="P9">
        <f>IF($B9="",0,INDEX('Съставки'!$N$2:$N$34,MATCH($B9,'Съставки'!$A$2:$A$34,0)))</f>
        <v/>
      </c>
      <c r="Q9">
        <f>IF($B9="",0,INDEX('Съставки'!$O$2:$O$34,MATCH($B9,'Съставки'!$A$2:$A$34,0)))</f>
        <v/>
      </c>
      <c r="R9">
        <f>IF($B9="",0,INDEX('Съставки'!$P$2:$P$34,MATCH($B9,'Съставки'!$A$2:$A$34,0)))</f>
        <v/>
      </c>
      <c r="S9">
        <f>IF($B9="",0,INDEX('Съставки'!$Q$2:$Q$34,MATCH($B9,'Съставки'!$A$2:$A$34,0)))</f>
        <v/>
      </c>
      <c r="T9">
        <f>IF($B9="",0,INDEX('Съставки'!$R$2:$R$34,MATCH($B9,'Съставки'!$A$2:$A$34,0)))</f>
        <v/>
      </c>
    </row>
    <row r="10">
      <c r="A10" s="17" t="inlineStr">
        <is>
          <t>Чорба Езогелин</t>
        </is>
      </c>
      <c r="B10" s="5" t="inlineStr">
        <is>
          <t>Масло</t>
        </is>
      </c>
      <c r="C10" s="18" t="n">
        <v>0.06</v>
      </c>
      <c r="D10" s="19">
        <f>IF($B10="","",INDEX('Съставки'!$B$2:$B$34,MATCH($B10,'Съставки'!$A$2:$A$34,0)))</f>
        <v/>
      </c>
      <c r="E10" s="20">
        <f>IF($B10="","",INDEX('Съставки'!$C$2:$C$34,MATCH($B10,'Съставки'!$A$2:$A$34,0)))</f>
        <v/>
      </c>
      <c r="F10" s="20">
        <f>IF($B10="","",$C10*$E10)</f>
        <v/>
      </c>
      <c r="G10">
        <f>IF($B10="",0,INDEX('Съставки'!$E$2:$E$34,MATCH($B10,'Съставки'!$A$2:$A$34,0)))</f>
        <v/>
      </c>
      <c r="H10">
        <f>IF($B10="",0,INDEX('Съставки'!$F$2:$F$34,MATCH($B10,'Съставки'!$A$2:$A$34,0)))</f>
        <v/>
      </c>
      <c r="I10">
        <f>IF($B10="",0,INDEX('Съставки'!$G$2:$G$34,MATCH($B10,'Съставки'!$A$2:$A$34,0)))</f>
        <v/>
      </c>
      <c r="J10">
        <f>IF($B10="",0,INDEX('Съставки'!$H$2:$H$34,MATCH($B10,'Съставки'!$A$2:$A$34,0)))</f>
        <v/>
      </c>
      <c r="K10">
        <f>IF($B10="",0,INDEX('Съставки'!$I$2:$I$34,MATCH($B10,'Съставки'!$A$2:$A$34,0)))</f>
        <v/>
      </c>
      <c r="L10">
        <f>IF($B10="",0,INDEX('Съставки'!$J$2:$J$34,MATCH($B10,'Съставки'!$A$2:$A$34,0)))</f>
        <v/>
      </c>
      <c r="M10">
        <f>IF($B10="",0,INDEX('Съставки'!$K$2:$K$34,MATCH($B10,'Съставки'!$A$2:$A$34,0)))</f>
        <v/>
      </c>
      <c r="N10">
        <f>IF($B10="",0,INDEX('Съставки'!$L$2:$L$34,MATCH($B10,'Съставки'!$A$2:$A$34,0)))</f>
        <v/>
      </c>
      <c r="O10">
        <f>IF($B10="",0,INDEX('Съставки'!$M$2:$M$34,MATCH($B10,'Съставки'!$A$2:$A$34,0)))</f>
        <v/>
      </c>
      <c r="P10">
        <f>IF($B10="",0,INDEX('Съставки'!$N$2:$N$34,MATCH($B10,'Съставки'!$A$2:$A$34,0)))</f>
        <v/>
      </c>
      <c r="Q10">
        <f>IF($B10="",0,INDEX('Съставки'!$O$2:$O$34,MATCH($B10,'Съставки'!$A$2:$A$34,0)))</f>
        <v/>
      </c>
      <c r="R10">
        <f>IF($B10="",0,INDEX('Съставки'!$P$2:$P$34,MATCH($B10,'Съставки'!$A$2:$A$34,0)))</f>
        <v/>
      </c>
      <c r="S10">
        <f>IF($B10="",0,INDEX('Съставки'!$Q$2:$Q$34,MATCH($B10,'Съставки'!$A$2:$A$34,0)))</f>
        <v/>
      </c>
      <c r="T10">
        <f>IF($B10="",0,INDEX('Съставки'!$R$2:$R$34,MATCH($B10,'Съставки'!$A$2:$A$34,0)))</f>
        <v/>
      </c>
    </row>
    <row r="11">
      <c r="A11" s="17" t="inlineStr">
        <is>
          <t>Чорба Езогелин</t>
        </is>
      </c>
      <c r="B11" s="5" t="inlineStr">
        <is>
          <t>Червен пипер (лют)</t>
        </is>
      </c>
      <c r="C11" s="18" t="n">
        <v>0.01</v>
      </c>
      <c r="D11" s="19">
        <f>IF($B11="","",INDEX('Съставки'!$B$2:$B$34,MATCH($B11,'Съставки'!$A$2:$A$34,0)))</f>
        <v/>
      </c>
      <c r="E11" s="20">
        <f>IF($B11="","",INDEX('Съставки'!$C$2:$C$34,MATCH($B11,'Съставки'!$A$2:$A$34,0)))</f>
        <v/>
      </c>
      <c r="F11" s="20">
        <f>IF($B11="","",$C11*$E11)</f>
        <v/>
      </c>
      <c r="G11">
        <f>IF($B11="",0,INDEX('Съставки'!$E$2:$E$34,MATCH($B11,'Съставки'!$A$2:$A$34,0)))</f>
        <v/>
      </c>
      <c r="H11">
        <f>IF($B11="",0,INDEX('Съставки'!$F$2:$F$34,MATCH($B11,'Съставки'!$A$2:$A$34,0)))</f>
        <v/>
      </c>
      <c r="I11">
        <f>IF($B11="",0,INDEX('Съставки'!$G$2:$G$34,MATCH($B11,'Съставки'!$A$2:$A$34,0)))</f>
        <v/>
      </c>
      <c r="J11">
        <f>IF($B11="",0,INDEX('Съставки'!$H$2:$H$34,MATCH($B11,'Съставки'!$A$2:$A$34,0)))</f>
        <v/>
      </c>
      <c r="K11">
        <f>IF($B11="",0,INDEX('Съставки'!$I$2:$I$34,MATCH($B11,'Съставки'!$A$2:$A$34,0)))</f>
        <v/>
      </c>
      <c r="L11">
        <f>IF($B11="",0,INDEX('Съставки'!$J$2:$J$34,MATCH($B11,'Съставки'!$A$2:$A$34,0)))</f>
        <v/>
      </c>
      <c r="M11">
        <f>IF($B11="",0,INDEX('Съставки'!$K$2:$K$34,MATCH($B11,'Съставки'!$A$2:$A$34,0)))</f>
        <v/>
      </c>
      <c r="N11">
        <f>IF($B11="",0,INDEX('Съставки'!$L$2:$L$34,MATCH($B11,'Съставки'!$A$2:$A$34,0)))</f>
        <v/>
      </c>
      <c r="O11">
        <f>IF($B11="",0,INDEX('Съставки'!$M$2:$M$34,MATCH($B11,'Съставки'!$A$2:$A$34,0)))</f>
        <v/>
      </c>
      <c r="P11">
        <f>IF($B11="",0,INDEX('Съставки'!$N$2:$N$34,MATCH($B11,'Съставки'!$A$2:$A$34,0)))</f>
        <v/>
      </c>
      <c r="Q11">
        <f>IF($B11="",0,INDEX('Съставки'!$O$2:$O$34,MATCH($B11,'Съставки'!$A$2:$A$34,0)))</f>
        <v/>
      </c>
      <c r="R11">
        <f>IF($B11="",0,INDEX('Съставки'!$P$2:$P$34,MATCH($B11,'Съставки'!$A$2:$A$34,0)))</f>
        <v/>
      </c>
      <c r="S11">
        <f>IF($B11="",0,INDEX('Съставки'!$Q$2:$Q$34,MATCH($B11,'Съставки'!$A$2:$A$34,0)))</f>
        <v/>
      </c>
      <c r="T11">
        <f>IF($B11="",0,INDEX('Съставки'!$R$2:$R$34,MATCH($B11,'Съставки'!$A$2:$A$34,0)))</f>
        <v/>
      </c>
    </row>
    <row r="12">
      <c r="A12" s="17" t="inlineStr">
        <is>
          <t>Чорба Езогелин</t>
        </is>
      </c>
      <c r="B12" s="5" t="inlineStr">
        <is>
          <t>Сол</t>
        </is>
      </c>
      <c r="C12" s="18" t="n">
        <v>0.015</v>
      </c>
      <c r="D12" s="19">
        <f>IF($B12="","",INDEX('Съставки'!$B$2:$B$34,MATCH($B12,'Съставки'!$A$2:$A$34,0)))</f>
        <v/>
      </c>
      <c r="E12" s="20">
        <f>IF($B12="","",INDEX('Съставки'!$C$2:$C$34,MATCH($B12,'Съставки'!$A$2:$A$34,0)))</f>
        <v/>
      </c>
      <c r="F12" s="20">
        <f>IF($B12="","",$C12*$E12)</f>
        <v/>
      </c>
      <c r="G12">
        <f>IF($B12="",0,INDEX('Съставки'!$E$2:$E$34,MATCH($B12,'Съставки'!$A$2:$A$34,0)))</f>
        <v/>
      </c>
      <c r="H12">
        <f>IF($B12="",0,INDEX('Съставки'!$F$2:$F$34,MATCH($B12,'Съставки'!$A$2:$A$34,0)))</f>
        <v/>
      </c>
      <c r="I12">
        <f>IF($B12="",0,INDEX('Съставки'!$G$2:$G$34,MATCH($B12,'Съставки'!$A$2:$A$34,0)))</f>
        <v/>
      </c>
      <c r="J12">
        <f>IF($B12="",0,INDEX('Съставки'!$H$2:$H$34,MATCH($B12,'Съставки'!$A$2:$A$34,0)))</f>
        <v/>
      </c>
      <c r="K12">
        <f>IF($B12="",0,INDEX('Съставки'!$I$2:$I$34,MATCH($B12,'Съставки'!$A$2:$A$34,0)))</f>
        <v/>
      </c>
      <c r="L12">
        <f>IF($B12="",0,INDEX('Съставки'!$J$2:$J$34,MATCH($B12,'Съставки'!$A$2:$A$34,0)))</f>
        <v/>
      </c>
      <c r="M12">
        <f>IF($B12="",0,INDEX('Съставки'!$K$2:$K$34,MATCH($B12,'Съставки'!$A$2:$A$34,0)))</f>
        <v/>
      </c>
      <c r="N12">
        <f>IF($B12="",0,INDEX('Съставки'!$L$2:$L$34,MATCH($B12,'Съставки'!$A$2:$A$34,0)))</f>
        <v/>
      </c>
      <c r="O12">
        <f>IF($B12="",0,INDEX('Съставки'!$M$2:$M$34,MATCH($B12,'Съставки'!$A$2:$A$34,0)))</f>
        <v/>
      </c>
      <c r="P12">
        <f>IF($B12="",0,INDEX('Съставки'!$N$2:$N$34,MATCH($B12,'Съставки'!$A$2:$A$34,0)))</f>
        <v/>
      </c>
      <c r="Q12">
        <f>IF($B12="",0,INDEX('Съставки'!$O$2:$O$34,MATCH($B12,'Съставки'!$A$2:$A$34,0)))</f>
        <v/>
      </c>
      <c r="R12">
        <f>IF($B12="",0,INDEX('Съставки'!$P$2:$P$34,MATCH($B12,'Съставки'!$A$2:$A$34,0)))</f>
        <v/>
      </c>
      <c r="S12">
        <f>IF($B12="",0,INDEX('Съставки'!$Q$2:$Q$34,MATCH($B12,'Съставки'!$A$2:$A$34,0)))</f>
        <v/>
      </c>
      <c r="T12">
        <f>IF($B12="",0,INDEX('Съставки'!$R$2:$R$34,MATCH($B12,'Съставки'!$A$2:$A$34,0)))</f>
        <v/>
      </c>
    </row>
    <row r="13">
      <c r="A13" s="17" t="inlineStr">
        <is>
          <t>Чорба Езогелин</t>
        </is>
      </c>
      <c r="B13" s="5" t="inlineStr">
        <is>
          <t>Вода</t>
        </is>
      </c>
      <c r="C13" s="18" t="n">
        <v>2</v>
      </c>
      <c r="D13" s="19">
        <f>IF($B13="","",INDEX('Съставки'!$B$2:$B$34,MATCH($B13,'Съставки'!$A$2:$A$34,0)))</f>
        <v/>
      </c>
      <c r="E13" s="20">
        <f>IF($B13="","",INDEX('Съставки'!$C$2:$C$34,MATCH($B13,'Съставки'!$A$2:$A$34,0)))</f>
        <v/>
      </c>
      <c r="F13" s="20">
        <f>IF($B13="","",$C13*$E13)</f>
        <v/>
      </c>
      <c r="G13">
        <f>IF($B13="",0,INDEX('Съставки'!$E$2:$E$34,MATCH($B13,'Съставки'!$A$2:$A$34,0)))</f>
        <v/>
      </c>
      <c r="H13">
        <f>IF($B13="",0,INDEX('Съставки'!$F$2:$F$34,MATCH($B13,'Съставки'!$A$2:$A$34,0)))</f>
        <v/>
      </c>
      <c r="I13">
        <f>IF($B13="",0,INDEX('Съставки'!$G$2:$G$34,MATCH($B13,'Съставки'!$A$2:$A$34,0)))</f>
        <v/>
      </c>
      <c r="J13">
        <f>IF($B13="",0,INDEX('Съставки'!$H$2:$H$34,MATCH($B13,'Съставки'!$A$2:$A$34,0)))</f>
        <v/>
      </c>
      <c r="K13">
        <f>IF($B13="",0,INDEX('Съставки'!$I$2:$I$34,MATCH($B13,'Съставки'!$A$2:$A$34,0)))</f>
        <v/>
      </c>
      <c r="L13">
        <f>IF($B13="",0,INDEX('Съставки'!$J$2:$J$34,MATCH($B13,'Съставки'!$A$2:$A$34,0)))</f>
        <v/>
      </c>
      <c r="M13">
        <f>IF($B13="",0,INDEX('Съставки'!$K$2:$K$34,MATCH($B13,'Съставки'!$A$2:$A$34,0)))</f>
        <v/>
      </c>
      <c r="N13">
        <f>IF($B13="",0,INDEX('Съставки'!$L$2:$L$34,MATCH($B13,'Съставки'!$A$2:$A$34,0)))</f>
        <v/>
      </c>
      <c r="O13">
        <f>IF($B13="",0,INDEX('Съставки'!$M$2:$M$34,MATCH($B13,'Съставки'!$A$2:$A$34,0)))</f>
        <v/>
      </c>
      <c r="P13">
        <f>IF($B13="",0,INDEX('Съставки'!$N$2:$N$34,MATCH($B13,'Съставки'!$A$2:$A$34,0)))</f>
        <v/>
      </c>
      <c r="Q13">
        <f>IF($B13="",0,INDEX('Съставки'!$O$2:$O$34,MATCH($B13,'Съставки'!$A$2:$A$34,0)))</f>
        <v/>
      </c>
      <c r="R13">
        <f>IF($B13="",0,INDEX('Съставки'!$P$2:$P$34,MATCH($B13,'Съставки'!$A$2:$A$34,0)))</f>
        <v/>
      </c>
      <c r="S13">
        <f>IF($B13="",0,INDEX('Съставки'!$Q$2:$Q$34,MATCH($B13,'Съставки'!$A$2:$A$34,0)))</f>
        <v/>
      </c>
      <c r="T13">
        <f>IF($B13="",0,INDEX('Съставки'!$R$2:$R$34,MATCH($B13,'Съставки'!$A$2:$A$34,0)))</f>
        <v/>
      </c>
    </row>
    <row r="14">
      <c r="A14" s="21" t="inlineStr">
        <is>
          <t>ОБЩА СЕБЕСТОЙНОСТ:</t>
        </is>
      </c>
      <c r="F14" s="22">
        <f>SUM(F6:F13)</f>
        <v/>
      </c>
    </row>
    <row r="16" ht="20" customHeight="1">
      <c r="A16" s="10" t="inlineStr">
        <is>
          <t>Мезе плато (турско)  /  Turkish Meze Platter</t>
        </is>
      </c>
    </row>
    <row r="17">
      <c r="A17" s="11" t="inlineStr">
        <is>
          <t>Категория:</t>
        </is>
      </c>
      <c r="B17" s="12" t="inlineStr">
        <is>
          <t>Предястия</t>
        </is>
      </c>
      <c r="C17" s="11" t="inlineStr">
        <is>
          <t>Порции:</t>
        </is>
      </c>
      <c r="D17" s="13">
        <f>INDEX('Рецепти'!$E:$E,3)</f>
        <v/>
      </c>
      <c r="E17" s="11" t="inlineStr">
        <is>
          <t>Себестойност/порция:</t>
        </is>
      </c>
      <c r="F17" s="14">
        <f>INDEX('Рецепти'!$G:$G,3)</f>
        <v/>
      </c>
    </row>
    <row r="18" ht="30" customHeight="1">
      <c r="A18" s="15" t="inlineStr">
        <is>
          <t>Приготвяне: Подредете киселото мляко, нарязаните краставици и домати, телемеята и маслините в отделни секции на плато. Поднесете с топла пита.</t>
        </is>
      </c>
    </row>
    <row r="19">
      <c r="A19" s="16" t="inlineStr">
        <is>
          <t>Ястие (за справка)</t>
        </is>
      </c>
      <c r="B19" s="16" t="inlineStr">
        <is>
          <t>Съставка</t>
        </is>
      </c>
      <c r="C19" s="16" t="inlineStr">
        <is>
          <t>Количество</t>
        </is>
      </c>
      <c r="D19" s="16" t="inlineStr">
        <is>
          <t>Мярка</t>
        </is>
      </c>
      <c r="E19" s="16" t="inlineStr">
        <is>
          <t>Цена/ед. (лв)</t>
        </is>
      </c>
      <c r="F19" s="16" t="inlineStr">
        <is>
          <t>Стойност (лв)</t>
        </is>
      </c>
    </row>
    <row r="20">
      <c r="A20" s="17" t="inlineStr">
        <is>
          <t>Мезе плато (турско)</t>
        </is>
      </c>
      <c r="B20" s="5" t="inlineStr">
        <is>
          <t>Кисело мляко</t>
        </is>
      </c>
      <c r="C20" s="18" t="n">
        <v>0.3</v>
      </c>
      <c r="D20" s="19">
        <f>IF($B20="","",INDEX('Съставки'!$B$2:$B$34,MATCH($B20,'Съставки'!$A$2:$A$34,0)))</f>
        <v/>
      </c>
      <c r="E20" s="20">
        <f>IF($B20="","",INDEX('Съставки'!$C$2:$C$34,MATCH($B20,'Съставки'!$A$2:$A$34,0)))</f>
        <v/>
      </c>
      <c r="F20" s="20">
        <f>IF($B20="","",$C20*$E20)</f>
        <v/>
      </c>
      <c r="G20">
        <f>IF($B20="",0,INDEX('Съставки'!$E$2:$E$34,MATCH($B20,'Съставки'!$A$2:$A$34,0)))</f>
        <v/>
      </c>
      <c r="H20">
        <f>IF($B20="",0,INDEX('Съставки'!$F$2:$F$34,MATCH($B20,'Съставки'!$A$2:$A$34,0)))</f>
        <v/>
      </c>
      <c r="I20">
        <f>IF($B20="",0,INDEX('Съставки'!$G$2:$G$34,MATCH($B20,'Съставки'!$A$2:$A$34,0)))</f>
        <v/>
      </c>
      <c r="J20">
        <f>IF($B20="",0,INDEX('Съставки'!$H$2:$H$34,MATCH($B20,'Съставки'!$A$2:$A$34,0)))</f>
        <v/>
      </c>
      <c r="K20">
        <f>IF($B20="",0,INDEX('Съставки'!$I$2:$I$34,MATCH($B20,'Съставки'!$A$2:$A$34,0)))</f>
        <v/>
      </c>
      <c r="L20">
        <f>IF($B20="",0,INDEX('Съставки'!$J$2:$J$34,MATCH($B20,'Съставки'!$A$2:$A$34,0)))</f>
        <v/>
      </c>
      <c r="M20">
        <f>IF($B20="",0,INDEX('Съставки'!$K$2:$K$34,MATCH($B20,'Съставки'!$A$2:$A$34,0)))</f>
        <v/>
      </c>
      <c r="N20">
        <f>IF($B20="",0,INDEX('Съставки'!$L$2:$L$34,MATCH($B20,'Съставки'!$A$2:$A$34,0)))</f>
        <v/>
      </c>
      <c r="O20">
        <f>IF($B20="",0,INDEX('Съставки'!$M$2:$M$34,MATCH($B20,'Съставки'!$A$2:$A$34,0)))</f>
        <v/>
      </c>
      <c r="P20">
        <f>IF($B20="",0,INDEX('Съставки'!$N$2:$N$34,MATCH($B20,'Съставки'!$A$2:$A$34,0)))</f>
        <v/>
      </c>
      <c r="Q20">
        <f>IF($B20="",0,INDEX('Съставки'!$O$2:$O$34,MATCH($B20,'Съставки'!$A$2:$A$34,0)))</f>
        <v/>
      </c>
      <c r="R20">
        <f>IF($B20="",0,INDEX('Съставки'!$P$2:$P$34,MATCH($B20,'Съставки'!$A$2:$A$34,0)))</f>
        <v/>
      </c>
      <c r="S20">
        <f>IF($B20="",0,INDEX('Съставки'!$Q$2:$Q$34,MATCH($B20,'Съставки'!$A$2:$A$34,0)))</f>
        <v/>
      </c>
      <c r="T20">
        <f>IF($B20="",0,INDEX('Съставки'!$R$2:$R$34,MATCH($B20,'Съставки'!$A$2:$A$34,0)))</f>
        <v/>
      </c>
    </row>
    <row r="21">
      <c r="A21" s="17" t="inlineStr">
        <is>
          <t>Мезе плато (турско)</t>
        </is>
      </c>
      <c r="B21" s="5" t="inlineStr">
        <is>
          <t>Краставици</t>
        </is>
      </c>
      <c r="C21" s="18" t="n">
        <v>0.2</v>
      </c>
      <c r="D21" s="19">
        <f>IF($B21="","",INDEX('Съставки'!$B$2:$B$34,MATCH($B21,'Съставки'!$A$2:$A$34,0)))</f>
        <v/>
      </c>
      <c r="E21" s="20">
        <f>IF($B21="","",INDEX('Съставки'!$C$2:$C$34,MATCH($B21,'Съставки'!$A$2:$A$34,0)))</f>
        <v/>
      </c>
      <c r="F21" s="20">
        <f>IF($B21="","",$C21*$E21)</f>
        <v/>
      </c>
      <c r="G21">
        <f>IF($B21="",0,INDEX('Съставки'!$E$2:$E$34,MATCH($B21,'Съставки'!$A$2:$A$34,0)))</f>
        <v/>
      </c>
      <c r="H21">
        <f>IF($B21="",0,INDEX('Съставки'!$F$2:$F$34,MATCH($B21,'Съставки'!$A$2:$A$34,0)))</f>
        <v/>
      </c>
      <c r="I21">
        <f>IF($B21="",0,INDEX('Съставки'!$G$2:$G$34,MATCH($B21,'Съставки'!$A$2:$A$34,0)))</f>
        <v/>
      </c>
      <c r="J21">
        <f>IF($B21="",0,INDEX('Съставки'!$H$2:$H$34,MATCH($B21,'Съставки'!$A$2:$A$34,0)))</f>
        <v/>
      </c>
      <c r="K21">
        <f>IF($B21="",0,INDEX('Съставки'!$I$2:$I$34,MATCH($B21,'Съставки'!$A$2:$A$34,0)))</f>
        <v/>
      </c>
      <c r="L21">
        <f>IF($B21="",0,INDEX('Съставки'!$J$2:$J$34,MATCH($B21,'Съставки'!$A$2:$A$34,0)))</f>
        <v/>
      </c>
      <c r="M21">
        <f>IF($B21="",0,INDEX('Съставки'!$K$2:$K$34,MATCH($B21,'Съставки'!$A$2:$A$34,0)))</f>
        <v/>
      </c>
      <c r="N21">
        <f>IF($B21="",0,INDEX('Съставки'!$L$2:$L$34,MATCH($B21,'Съставки'!$A$2:$A$34,0)))</f>
        <v/>
      </c>
      <c r="O21">
        <f>IF($B21="",0,INDEX('Съставки'!$M$2:$M$34,MATCH($B21,'Съставки'!$A$2:$A$34,0)))</f>
        <v/>
      </c>
      <c r="P21">
        <f>IF($B21="",0,INDEX('Съставки'!$N$2:$N$34,MATCH($B21,'Съставки'!$A$2:$A$34,0)))</f>
        <v/>
      </c>
      <c r="Q21">
        <f>IF($B21="",0,INDEX('Съставки'!$O$2:$O$34,MATCH($B21,'Съставки'!$A$2:$A$34,0)))</f>
        <v/>
      </c>
      <c r="R21">
        <f>IF($B21="",0,INDEX('Съставки'!$P$2:$P$34,MATCH($B21,'Съставки'!$A$2:$A$34,0)))</f>
        <v/>
      </c>
      <c r="S21">
        <f>IF($B21="",0,INDEX('Съставки'!$Q$2:$Q$34,MATCH($B21,'Съставки'!$A$2:$A$34,0)))</f>
        <v/>
      </c>
      <c r="T21">
        <f>IF($B21="",0,INDEX('Съставки'!$R$2:$R$34,MATCH($B21,'Съставки'!$A$2:$A$34,0)))</f>
        <v/>
      </c>
    </row>
    <row r="22">
      <c r="A22" s="17" t="inlineStr">
        <is>
          <t>Мезе плато (турско)</t>
        </is>
      </c>
      <c r="B22" s="5" t="inlineStr">
        <is>
          <t>Чесън</t>
        </is>
      </c>
      <c r="C22" s="18" t="n">
        <v>0.02</v>
      </c>
      <c r="D22" s="19">
        <f>IF($B22="","",INDEX('Съставки'!$B$2:$B$34,MATCH($B22,'Съставки'!$A$2:$A$34,0)))</f>
        <v/>
      </c>
      <c r="E22" s="20">
        <f>IF($B22="","",INDEX('Съставки'!$C$2:$C$34,MATCH($B22,'Съставки'!$A$2:$A$34,0)))</f>
        <v/>
      </c>
      <c r="F22" s="20">
        <f>IF($B22="","",$C22*$E22)</f>
        <v/>
      </c>
      <c r="G22">
        <f>IF($B22="",0,INDEX('Съставки'!$E$2:$E$34,MATCH($B22,'Съставки'!$A$2:$A$34,0)))</f>
        <v/>
      </c>
      <c r="H22">
        <f>IF($B22="",0,INDEX('Съставки'!$F$2:$F$34,MATCH($B22,'Съставки'!$A$2:$A$34,0)))</f>
        <v/>
      </c>
      <c r="I22">
        <f>IF($B22="",0,INDEX('Съставки'!$G$2:$G$34,MATCH($B22,'Съставки'!$A$2:$A$34,0)))</f>
        <v/>
      </c>
      <c r="J22">
        <f>IF($B22="",0,INDEX('Съставки'!$H$2:$H$34,MATCH($B22,'Съставки'!$A$2:$A$34,0)))</f>
        <v/>
      </c>
      <c r="K22">
        <f>IF($B22="",0,INDEX('Съставки'!$I$2:$I$34,MATCH($B22,'Съставки'!$A$2:$A$34,0)))</f>
        <v/>
      </c>
      <c r="L22">
        <f>IF($B22="",0,INDEX('Съставки'!$J$2:$J$34,MATCH($B22,'Съставки'!$A$2:$A$34,0)))</f>
        <v/>
      </c>
      <c r="M22">
        <f>IF($B22="",0,INDEX('Съставки'!$K$2:$K$34,MATCH($B22,'Съставки'!$A$2:$A$34,0)))</f>
        <v/>
      </c>
      <c r="N22">
        <f>IF($B22="",0,INDEX('Съставки'!$L$2:$L$34,MATCH($B22,'Съставки'!$A$2:$A$34,0)))</f>
        <v/>
      </c>
      <c r="O22">
        <f>IF($B22="",0,INDEX('Съставки'!$M$2:$M$34,MATCH($B22,'Съставки'!$A$2:$A$34,0)))</f>
        <v/>
      </c>
      <c r="P22">
        <f>IF($B22="",0,INDEX('Съставки'!$N$2:$N$34,MATCH($B22,'Съставки'!$A$2:$A$34,0)))</f>
        <v/>
      </c>
      <c r="Q22">
        <f>IF($B22="",0,INDEX('Съставки'!$O$2:$O$34,MATCH($B22,'Съставки'!$A$2:$A$34,0)))</f>
        <v/>
      </c>
      <c r="R22">
        <f>IF($B22="",0,INDEX('Съставки'!$P$2:$P$34,MATCH($B22,'Съставки'!$A$2:$A$34,0)))</f>
        <v/>
      </c>
      <c r="S22">
        <f>IF($B22="",0,INDEX('Съставки'!$Q$2:$Q$34,MATCH($B22,'Съставки'!$A$2:$A$34,0)))</f>
        <v/>
      </c>
      <c r="T22">
        <f>IF($B22="",0,INDEX('Съставки'!$R$2:$R$34,MATCH($B22,'Съставки'!$A$2:$A$34,0)))</f>
        <v/>
      </c>
    </row>
    <row r="23">
      <c r="A23" s="17" t="inlineStr">
        <is>
          <t>Мезе плато (турско)</t>
        </is>
      </c>
      <c r="B23" s="5" t="inlineStr">
        <is>
          <t>Сирене телемея</t>
        </is>
      </c>
      <c r="C23" s="18" t="n">
        <v>0.2</v>
      </c>
      <c r="D23" s="19">
        <f>IF($B23="","",INDEX('Съставки'!$B$2:$B$34,MATCH($B23,'Съставки'!$A$2:$A$34,0)))</f>
        <v/>
      </c>
      <c r="E23" s="20">
        <f>IF($B23="","",INDEX('Съставки'!$C$2:$C$34,MATCH($B23,'Съставки'!$A$2:$A$34,0)))</f>
        <v/>
      </c>
      <c r="F23" s="20">
        <f>IF($B23="","",$C23*$E23)</f>
        <v/>
      </c>
      <c r="G23">
        <f>IF($B23="",0,INDEX('Съставки'!$E$2:$E$34,MATCH($B23,'Съставки'!$A$2:$A$34,0)))</f>
        <v/>
      </c>
      <c r="H23">
        <f>IF($B23="",0,INDEX('Съставки'!$F$2:$F$34,MATCH($B23,'Съставки'!$A$2:$A$34,0)))</f>
        <v/>
      </c>
      <c r="I23">
        <f>IF($B23="",0,INDEX('Съставки'!$G$2:$G$34,MATCH($B23,'Съставки'!$A$2:$A$34,0)))</f>
        <v/>
      </c>
      <c r="J23">
        <f>IF($B23="",0,INDEX('Съставки'!$H$2:$H$34,MATCH($B23,'Съставки'!$A$2:$A$34,0)))</f>
        <v/>
      </c>
      <c r="K23">
        <f>IF($B23="",0,INDEX('Съставки'!$I$2:$I$34,MATCH($B23,'Съставки'!$A$2:$A$34,0)))</f>
        <v/>
      </c>
      <c r="L23">
        <f>IF($B23="",0,INDEX('Съставки'!$J$2:$J$34,MATCH($B23,'Съставки'!$A$2:$A$34,0)))</f>
        <v/>
      </c>
      <c r="M23">
        <f>IF($B23="",0,INDEX('Съставки'!$K$2:$K$34,MATCH($B23,'Съставки'!$A$2:$A$34,0)))</f>
        <v/>
      </c>
      <c r="N23">
        <f>IF($B23="",0,INDEX('Съставки'!$L$2:$L$34,MATCH($B23,'Съставки'!$A$2:$A$34,0)))</f>
        <v/>
      </c>
      <c r="O23">
        <f>IF($B23="",0,INDEX('Съставки'!$M$2:$M$34,MATCH($B23,'Съставки'!$A$2:$A$34,0)))</f>
        <v/>
      </c>
      <c r="P23">
        <f>IF($B23="",0,INDEX('Съставки'!$N$2:$N$34,MATCH($B23,'Съставки'!$A$2:$A$34,0)))</f>
        <v/>
      </c>
      <c r="Q23">
        <f>IF($B23="",0,INDEX('Съставки'!$O$2:$O$34,MATCH($B23,'Съставки'!$A$2:$A$34,0)))</f>
        <v/>
      </c>
      <c r="R23">
        <f>IF($B23="",0,INDEX('Съставки'!$P$2:$P$34,MATCH($B23,'Съставки'!$A$2:$A$34,0)))</f>
        <v/>
      </c>
      <c r="S23">
        <f>IF($B23="",0,INDEX('Съставки'!$Q$2:$Q$34,MATCH($B23,'Съставки'!$A$2:$A$34,0)))</f>
        <v/>
      </c>
      <c r="T23">
        <f>IF($B23="",0,INDEX('Съставки'!$R$2:$R$34,MATCH($B23,'Съставки'!$A$2:$A$34,0)))</f>
        <v/>
      </c>
    </row>
    <row r="24">
      <c r="A24" s="17" t="inlineStr">
        <is>
          <t>Мезе плато (турско)</t>
        </is>
      </c>
      <c r="B24" s="5" t="inlineStr">
        <is>
          <t>Домати</t>
        </is>
      </c>
      <c r="C24" s="18" t="n">
        <v>0.2</v>
      </c>
      <c r="D24" s="19">
        <f>IF($B24="","",INDEX('Съставки'!$B$2:$B$34,MATCH($B24,'Съставки'!$A$2:$A$34,0)))</f>
        <v/>
      </c>
      <c r="E24" s="20">
        <f>IF($B24="","",INDEX('Съставки'!$C$2:$C$34,MATCH($B24,'Съставки'!$A$2:$A$34,0)))</f>
        <v/>
      </c>
      <c r="F24" s="20">
        <f>IF($B24="","",$C24*$E24)</f>
        <v/>
      </c>
      <c r="G24">
        <f>IF($B24="",0,INDEX('Съставки'!$E$2:$E$34,MATCH($B24,'Съставки'!$A$2:$A$34,0)))</f>
        <v/>
      </c>
      <c r="H24">
        <f>IF($B24="",0,INDEX('Съставки'!$F$2:$F$34,MATCH($B24,'Съставки'!$A$2:$A$34,0)))</f>
        <v/>
      </c>
      <c r="I24">
        <f>IF($B24="",0,INDEX('Съставки'!$G$2:$G$34,MATCH($B24,'Съставки'!$A$2:$A$34,0)))</f>
        <v/>
      </c>
      <c r="J24">
        <f>IF($B24="",0,INDEX('Съставки'!$H$2:$H$34,MATCH($B24,'Съставки'!$A$2:$A$34,0)))</f>
        <v/>
      </c>
      <c r="K24">
        <f>IF($B24="",0,INDEX('Съставки'!$I$2:$I$34,MATCH($B24,'Съставки'!$A$2:$A$34,0)))</f>
        <v/>
      </c>
      <c r="L24">
        <f>IF($B24="",0,INDEX('Съставки'!$J$2:$J$34,MATCH($B24,'Съставки'!$A$2:$A$34,0)))</f>
        <v/>
      </c>
      <c r="M24">
        <f>IF($B24="",0,INDEX('Съставки'!$K$2:$K$34,MATCH($B24,'Съставки'!$A$2:$A$34,0)))</f>
        <v/>
      </c>
      <c r="N24">
        <f>IF($B24="",0,INDEX('Съставки'!$L$2:$L$34,MATCH($B24,'Съставки'!$A$2:$A$34,0)))</f>
        <v/>
      </c>
      <c r="O24">
        <f>IF($B24="",0,INDEX('Съставки'!$M$2:$M$34,MATCH($B24,'Съставки'!$A$2:$A$34,0)))</f>
        <v/>
      </c>
      <c r="P24">
        <f>IF($B24="",0,INDEX('Съставки'!$N$2:$N$34,MATCH($B24,'Съставки'!$A$2:$A$34,0)))</f>
        <v/>
      </c>
      <c r="Q24">
        <f>IF($B24="",0,INDEX('Съставки'!$O$2:$O$34,MATCH($B24,'Съставки'!$A$2:$A$34,0)))</f>
        <v/>
      </c>
      <c r="R24">
        <f>IF($B24="",0,INDEX('Съставки'!$P$2:$P$34,MATCH($B24,'Съставки'!$A$2:$A$34,0)))</f>
        <v/>
      </c>
      <c r="S24">
        <f>IF($B24="",0,INDEX('Съставки'!$Q$2:$Q$34,MATCH($B24,'Съставки'!$A$2:$A$34,0)))</f>
        <v/>
      </c>
      <c r="T24">
        <f>IF($B24="",0,INDEX('Съставки'!$R$2:$R$34,MATCH($B24,'Съставки'!$A$2:$A$34,0)))</f>
        <v/>
      </c>
    </row>
    <row r="25">
      <c r="A25" s="17" t="inlineStr">
        <is>
          <t>Мезе плато (турско)</t>
        </is>
      </c>
      <c r="B25" s="5" t="inlineStr">
        <is>
          <t>Маслини</t>
        </is>
      </c>
      <c r="C25" s="18" t="n">
        <v>0.15</v>
      </c>
      <c r="D25" s="19">
        <f>IF($B25="","",INDEX('Съставки'!$B$2:$B$34,MATCH($B25,'Съставки'!$A$2:$A$34,0)))</f>
        <v/>
      </c>
      <c r="E25" s="20">
        <f>IF($B25="","",INDEX('Съставки'!$C$2:$C$34,MATCH($B25,'Съставки'!$A$2:$A$34,0)))</f>
        <v/>
      </c>
      <c r="F25" s="20">
        <f>IF($B25="","",$C25*$E25)</f>
        <v/>
      </c>
      <c r="G25">
        <f>IF($B25="",0,INDEX('Съставки'!$E$2:$E$34,MATCH($B25,'Съставки'!$A$2:$A$34,0)))</f>
        <v/>
      </c>
      <c r="H25">
        <f>IF($B25="",0,INDEX('Съставки'!$F$2:$F$34,MATCH($B25,'Съставки'!$A$2:$A$34,0)))</f>
        <v/>
      </c>
      <c r="I25">
        <f>IF($B25="",0,INDEX('Съставки'!$G$2:$G$34,MATCH($B25,'Съставки'!$A$2:$A$34,0)))</f>
        <v/>
      </c>
      <c r="J25">
        <f>IF($B25="",0,INDEX('Съставки'!$H$2:$H$34,MATCH($B25,'Съставки'!$A$2:$A$34,0)))</f>
        <v/>
      </c>
      <c r="K25">
        <f>IF($B25="",0,INDEX('Съставки'!$I$2:$I$34,MATCH($B25,'Съставки'!$A$2:$A$34,0)))</f>
        <v/>
      </c>
      <c r="L25">
        <f>IF($B25="",0,INDEX('Съставки'!$J$2:$J$34,MATCH($B25,'Съставки'!$A$2:$A$34,0)))</f>
        <v/>
      </c>
      <c r="M25">
        <f>IF($B25="",0,INDEX('Съставки'!$K$2:$K$34,MATCH($B25,'Съставки'!$A$2:$A$34,0)))</f>
        <v/>
      </c>
      <c r="N25">
        <f>IF($B25="",0,INDEX('Съставки'!$L$2:$L$34,MATCH($B25,'Съставки'!$A$2:$A$34,0)))</f>
        <v/>
      </c>
      <c r="O25">
        <f>IF($B25="",0,INDEX('Съставки'!$M$2:$M$34,MATCH($B25,'Съставки'!$A$2:$A$34,0)))</f>
        <v/>
      </c>
      <c r="P25">
        <f>IF($B25="",0,INDEX('Съставки'!$N$2:$N$34,MATCH($B25,'Съставки'!$A$2:$A$34,0)))</f>
        <v/>
      </c>
      <c r="Q25">
        <f>IF($B25="",0,INDEX('Съставки'!$O$2:$O$34,MATCH($B25,'Съставки'!$A$2:$A$34,0)))</f>
        <v/>
      </c>
      <c r="R25">
        <f>IF($B25="",0,INDEX('Съставки'!$P$2:$P$34,MATCH($B25,'Съставки'!$A$2:$A$34,0)))</f>
        <v/>
      </c>
      <c r="S25">
        <f>IF($B25="",0,INDEX('Съставки'!$Q$2:$Q$34,MATCH($B25,'Съставки'!$A$2:$A$34,0)))</f>
        <v/>
      </c>
      <c r="T25">
        <f>IF($B25="",0,INDEX('Съставки'!$R$2:$R$34,MATCH($B25,'Съставки'!$A$2:$A$34,0)))</f>
        <v/>
      </c>
    </row>
    <row r="26">
      <c r="A26" s="17" t="inlineStr">
        <is>
          <t>Мезе плато (турско)</t>
        </is>
      </c>
      <c r="B26" s="5" t="inlineStr">
        <is>
          <t>Олио</t>
        </is>
      </c>
      <c r="C26" s="18" t="n">
        <v>0.05</v>
      </c>
      <c r="D26" s="19">
        <f>IF($B26="","",INDEX('Съставки'!$B$2:$B$34,MATCH($B26,'Съставки'!$A$2:$A$34,0)))</f>
        <v/>
      </c>
      <c r="E26" s="20">
        <f>IF($B26="","",INDEX('Съставки'!$C$2:$C$34,MATCH($B26,'Съставки'!$A$2:$A$34,0)))</f>
        <v/>
      </c>
      <c r="F26" s="20">
        <f>IF($B26="","",$C26*$E26)</f>
        <v/>
      </c>
      <c r="G26">
        <f>IF($B26="",0,INDEX('Съставки'!$E$2:$E$34,MATCH($B26,'Съставки'!$A$2:$A$34,0)))</f>
        <v/>
      </c>
      <c r="H26">
        <f>IF($B26="",0,INDEX('Съставки'!$F$2:$F$34,MATCH($B26,'Съставки'!$A$2:$A$34,0)))</f>
        <v/>
      </c>
      <c r="I26">
        <f>IF($B26="",0,INDEX('Съставки'!$G$2:$G$34,MATCH($B26,'Съставки'!$A$2:$A$34,0)))</f>
        <v/>
      </c>
      <c r="J26">
        <f>IF($B26="",0,INDEX('Съставки'!$H$2:$H$34,MATCH($B26,'Съставки'!$A$2:$A$34,0)))</f>
        <v/>
      </c>
      <c r="K26">
        <f>IF($B26="",0,INDEX('Съставки'!$I$2:$I$34,MATCH($B26,'Съставки'!$A$2:$A$34,0)))</f>
        <v/>
      </c>
      <c r="L26">
        <f>IF($B26="",0,INDEX('Съставки'!$J$2:$J$34,MATCH($B26,'Съставки'!$A$2:$A$34,0)))</f>
        <v/>
      </c>
      <c r="M26">
        <f>IF($B26="",0,INDEX('Съставки'!$K$2:$K$34,MATCH($B26,'Съставки'!$A$2:$A$34,0)))</f>
        <v/>
      </c>
      <c r="N26">
        <f>IF($B26="",0,INDEX('Съставки'!$L$2:$L$34,MATCH($B26,'Съставки'!$A$2:$A$34,0)))</f>
        <v/>
      </c>
      <c r="O26">
        <f>IF($B26="",0,INDEX('Съставки'!$M$2:$M$34,MATCH($B26,'Съставки'!$A$2:$A$34,0)))</f>
        <v/>
      </c>
      <c r="P26">
        <f>IF($B26="",0,INDEX('Съставки'!$N$2:$N$34,MATCH($B26,'Съставки'!$A$2:$A$34,0)))</f>
        <v/>
      </c>
      <c r="Q26">
        <f>IF($B26="",0,INDEX('Съставки'!$O$2:$O$34,MATCH($B26,'Съставки'!$A$2:$A$34,0)))</f>
        <v/>
      </c>
      <c r="R26">
        <f>IF($B26="",0,INDEX('Съставки'!$P$2:$P$34,MATCH($B26,'Съставки'!$A$2:$A$34,0)))</f>
        <v/>
      </c>
      <c r="S26">
        <f>IF($B26="",0,INDEX('Съставки'!$Q$2:$Q$34,MATCH($B26,'Съставки'!$A$2:$A$34,0)))</f>
        <v/>
      </c>
      <c r="T26">
        <f>IF($B26="",0,INDEX('Съставки'!$R$2:$R$34,MATCH($B26,'Съставки'!$A$2:$A$34,0)))</f>
        <v/>
      </c>
    </row>
    <row r="27">
      <c r="A27" s="17" t="inlineStr">
        <is>
          <t>Мезе плато (турско)</t>
        </is>
      </c>
      <c r="B27" s="5" t="inlineStr">
        <is>
          <t>Пита хляб</t>
        </is>
      </c>
      <c r="C27" s="18" t="n">
        <v>4</v>
      </c>
      <c r="D27" s="19">
        <f>IF($B27="","",INDEX('Съставки'!$B$2:$B$34,MATCH($B27,'Съставки'!$A$2:$A$34,0)))</f>
        <v/>
      </c>
      <c r="E27" s="20">
        <f>IF($B27="","",INDEX('Съставки'!$C$2:$C$34,MATCH($B27,'Съставки'!$A$2:$A$34,0)))</f>
        <v/>
      </c>
      <c r="F27" s="20">
        <f>IF($B27="","",$C27*$E27)</f>
        <v/>
      </c>
      <c r="G27">
        <f>IF($B27="",0,INDEX('Съставки'!$E$2:$E$34,MATCH($B27,'Съставки'!$A$2:$A$34,0)))</f>
        <v/>
      </c>
      <c r="H27">
        <f>IF($B27="",0,INDEX('Съставки'!$F$2:$F$34,MATCH($B27,'Съставки'!$A$2:$A$34,0)))</f>
        <v/>
      </c>
      <c r="I27">
        <f>IF($B27="",0,INDEX('Съставки'!$G$2:$G$34,MATCH($B27,'Съставки'!$A$2:$A$34,0)))</f>
        <v/>
      </c>
      <c r="J27">
        <f>IF($B27="",0,INDEX('Съставки'!$H$2:$H$34,MATCH($B27,'Съставки'!$A$2:$A$34,0)))</f>
        <v/>
      </c>
      <c r="K27">
        <f>IF($B27="",0,INDEX('Съставки'!$I$2:$I$34,MATCH($B27,'Съставки'!$A$2:$A$34,0)))</f>
        <v/>
      </c>
      <c r="L27">
        <f>IF($B27="",0,INDEX('Съставки'!$J$2:$J$34,MATCH($B27,'Съставки'!$A$2:$A$34,0)))</f>
        <v/>
      </c>
      <c r="M27">
        <f>IF($B27="",0,INDEX('Съставки'!$K$2:$K$34,MATCH($B27,'Съставки'!$A$2:$A$34,0)))</f>
        <v/>
      </c>
      <c r="N27">
        <f>IF($B27="",0,INDEX('Съставки'!$L$2:$L$34,MATCH($B27,'Съставки'!$A$2:$A$34,0)))</f>
        <v/>
      </c>
      <c r="O27">
        <f>IF($B27="",0,INDEX('Съставки'!$M$2:$M$34,MATCH($B27,'Съставки'!$A$2:$A$34,0)))</f>
        <v/>
      </c>
      <c r="P27">
        <f>IF($B27="",0,INDEX('Съставки'!$N$2:$N$34,MATCH($B27,'Съставки'!$A$2:$A$34,0)))</f>
        <v/>
      </c>
      <c r="Q27">
        <f>IF($B27="",0,INDEX('Съставки'!$O$2:$O$34,MATCH($B27,'Съставки'!$A$2:$A$34,0)))</f>
        <v/>
      </c>
      <c r="R27">
        <f>IF($B27="",0,INDEX('Съставки'!$P$2:$P$34,MATCH($B27,'Съставки'!$A$2:$A$34,0)))</f>
        <v/>
      </c>
      <c r="S27">
        <f>IF($B27="",0,INDEX('Съставки'!$Q$2:$Q$34,MATCH($B27,'Съставки'!$A$2:$A$34,0)))</f>
        <v/>
      </c>
      <c r="T27">
        <f>IF($B27="",0,INDEX('Съставки'!$R$2:$R$34,MATCH($B27,'Съставки'!$A$2:$A$34,0)))</f>
        <v/>
      </c>
    </row>
    <row r="28">
      <c r="A28" s="21" t="inlineStr">
        <is>
          <t>ОБЩА СЕБЕСТОЙНОСТ:</t>
        </is>
      </c>
      <c r="F28" s="22">
        <f>SUM(F20:F27)</f>
        <v/>
      </c>
    </row>
    <row r="30" ht="20" customHeight="1">
      <c r="A30" s="10" t="inlineStr">
        <is>
          <t>Искендер кебап  /  Iskender Kebab</t>
        </is>
      </c>
    </row>
    <row r="31">
      <c r="A31" s="11" t="inlineStr">
        <is>
          <t>Категория:</t>
        </is>
      </c>
      <c r="B31" s="12" t="inlineStr">
        <is>
          <t>Основни</t>
        </is>
      </c>
      <c r="C31" s="11" t="inlineStr">
        <is>
          <t>Порции:</t>
        </is>
      </c>
      <c r="D31" s="13">
        <f>INDEX('Рецепти'!$E:$E,4)</f>
        <v/>
      </c>
      <c r="E31" s="11" t="inlineStr">
        <is>
          <t>Себестойност/порция:</t>
        </is>
      </c>
      <c r="F31" s="14">
        <f>INDEX('Рецепти'!$G:$G,4)</f>
        <v/>
      </c>
    </row>
    <row r="32" ht="30" customHeight="1">
      <c r="A32" s="15" t="inlineStr">
        <is>
          <t>Приготвяне: Нарежете питата на хапки в дъното на чинията. Наредете отгоре дюнер месото, залейте с горещ доматен сос и топено масло, поднесете с кисело мляко отстрани.</t>
        </is>
      </c>
    </row>
    <row r="33">
      <c r="A33" s="16" t="inlineStr">
        <is>
          <t>Ястие (за справка)</t>
        </is>
      </c>
      <c r="B33" s="16" t="inlineStr">
        <is>
          <t>Съставка</t>
        </is>
      </c>
      <c r="C33" s="16" t="inlineStr">
        <is>
          <t>Количество</t>
        </is>
      </c>
      <c r="D33" s="16" t="inlineStr">
        <is>
          <t>Мярка</t>
        </is>
      </c>
      <c r="E33" s="16" t="inlineStr">
        <is>
          <t>Цена/ед. (лв)</t>
        </is>
      </c>
      <c r="F33" s="16" t="inlineStr">
        <is>
          <t>Стойност (лв)</t>
        </is>
      </c>
    </row>
    <row r="34">
      <c r="A34" s="17" t="inlineStr">
        <is>
          <t>Искендер кебап</t>
        </is>
      </c>
      <c r="B34" s="5" t="inlineStr">
        <is>
          <t>Телешко месо (филе за дюнер)</t>
        </is>
      </c>
      <c r="C34" s="18" t="n">
        <v>0.6</v>
      </c>
      <c r="D34" s="19">
        <f>IF($B34="","",INDEX('Съставки'!$B$2:$B$34,MATCH($B34,'Съставки'!$A$2:$A$34,0)))</f>
        <v/>
      </c>
      <c r="E34" s="20">
        <f>IF($B34="","",INDEX('Съставки'!$C$2:$C$34,MATCH($B34,'Съставки'!$A$2:$A$34,0)))</f>
        <v/>
      </c>
      <c r="F34" s="20">
        <f>IF($B34="","",$C34*$E34)</f>
        <v/>
      </c>
      <c r="G34">
        <f>IF($B34="",0,INDEX('Съставки'!$E$2:$E$34,MATCH($B34,'Съставки'!$A$2:$A$34,0)))</f>
        <v/>
      </c>
      <c r="H34">
        <f>IF($B34="",0,INDEX('Съставки'!$F$2:$F$34,MATCH($B34,'Съставки'!$A$2:$A$34,0)))</f>
        <v/>
      </c>
      <c r="I34">
        <f>IF($B34="",0,INDEX('Съставки'!$G$2:$G$34,MATCH($B34,'Съставки'!$A$2:$A$34,0)))</f>
        <v/>
      </c>
      <c r="J34">
        <f>IF($B34="",0,INDEX('Съставки'!$H$2:$H$34,MATCH($B34,'Съставки'!$A$2:$A$34,0)))</f>
        <v/>
      </c>
      <c r="K34">
        <f>IF($B34="",0,INDEX('Съставки'!$I$2:$I$34,MATCH($B34,'Съставки'!$A$2:$A$34,0)))</f>
        <v/>
      </c>
      <c r="L34">
        <f>IF($B34="",0,INDEX('Съставки'!$J$2:$J$34,MATCH($B34,'Съставки'!$A$2:$A$34,0)))</f>
        <v/>
      </c>
      <c r="M34">
        <f>IF($B34="",0,INDEX('Съставки'!$K$2:$K$34,MATCH($B34,'Съставки'!$A$2:$A$34,0)))</f>
        <v/>
      </c>
      <c r="N34">
        <f>IF($B34="",0,INDEX('Съставки'!$L$2:$L$34,MATCH($B34,'Съставки'!$A$2:$A$34,0)))</f>
        <v/>
      </c>
      <c r="O34">
        <f>IF($B34="",0,INDEX('Съставки'!$M$2:$M$34,MATCH($B34,'Съставки'!$A$2:$A$34,0)))</f>
        <v/>
      </c>
      <c r="P34">
        <f>IF($B34="",0,INDEX('Съставки'!$N$2:$N$34,MATCH($B34,'Съставки'!$A$2:$A$34,0)))</f>
        <v/>
      </c>
      <c r="Q34">
        <f>IF($B34="",0,INDEX('Съставки'!$O$2:$O$34,MATCH($B34,'Съставки'!$A$2:$A$34,0)))</f>
        <v/>
      </c>
      <c r="R34">
        <f>IF($B34="",0,INDEX('Съставки'!$P$2:$P$34,MATCH($B34,'Съставки'!$A$2:$A$34,0)))</f>
        <v/>
      </c>
      <c r="S34">
        <f>IF($B34="",0,INDEX('Съставки'!$Q$2:$Q$34,MATCH($B34,'Съставки'!$A$2:$A$34,0)))</f>
        <v/>
      </c>
      <c r="T34">
        <f>IF($B34="",0,INDEX('Съставки'!$R$2:$R$34,MATCH($B34,'Съставки'!$A$2:$A$34,0)))</f>
        <v/>
      </c>
    </row>
    <row r="35">
      <c r="A35" s="17" t="inlineStr">
        <is>
          <t>Искендер кебап</t>
        </is>
      </c>
      <c r="B35" s="5" t="inlineStr">
        <is>
          <t>Пита хляб</t>
        </is>
      </c>
      <c r="C35" s="18" t="n">
        <v>4</v>
      </c>
      <c r="D35" s="19">
        <f>IF($B35="","",INDEX('Съставки'!$B$2:$B$34,MATCH($B35,'Съставки'!$A$2:$A$34,0)))</f>
        <v/>
      </c>
      <c r="E35" s="20">
        <f>IF($B35="","",INDEX('Съставки'!$C$2:$C$34,MATCH($B35,'Съставки'!$A$2:$A$34,0)))</f>
        <v/>
      </c>
      <c r="F35" s="20">
        <f>IF($B35="","",$C35*$E35)</f>
        <v/>
      </c>
      <c r="G35">
        <f>IF($B35="",0,INDEX('Съставки'!$E$2:$E$34,MATCH($B35,'Съставки'!$A$2:$A$34,0)))</f>
        <v/>
      </c>
      <c r="H35">
        <f>IF($B35="",0,INDEX('Съставки'!$F$2:$F$34,MATCH($B35,'Съставки'!$A$2:$A$34,0)))</f>
        <v/>
      </c>
      <c r="I35">
        <f>IF($B35="",0,INDEX('Съставки'!$G$2:$G$34,MATCH($B35,'Съставки'!$A$2:$A$34,0)))</f>
        <v/>
      </c>
      <c r="J35">
        <f>IF($B35="",0,INDEX('Съставки'!$H$2:$H$34,MATCH($B35,'Съставки'!$A$2:$A$34,0)))</f>
        <v/>
      </c>
      <c r="K35">
        <f>IF($B35="",0,INDEX('Съставки'!$I$2:$I$34,MATCH($B35,'Съставки'!$A$2:$A$34,0)))</f>
        <v/>
      </c>
      <c r="L35">
        <f>IF($B35="",0,INDEX('Съставки'!$J$2:$J$34,MATCH($B35,'Съставки'!$A$2:$A$34,0)))</f>
        <v/>
      </c>
      <c r="M35">
        <f>IF($B35="",0,INDEX('Съставки'!$K$2:$K$34,MATCH($B35,'Съставки'!$A$2:$A$34,0)))</f>
        <v/>
      </c>
      <c r="N35">
        <f>IF($B35="",0,INDEX('Съставки'!$L$2:$L$34,MATCH($B35,'Съставки'!$A$2:$A$34,0)))</f>
        <v/>
      </c>
      <c r="O35">
        <f>IF($B35="",0,INDEX('Съставки'!$M$2:$M$34,MATCH($B35,'Съставки'!$A$2:$A$34,0)))</f>
        <v/>
      </c>
      <c r="P35">
        <f>IF($B35="",0,INDEX('Съставки'!$N$2:$N$34,MATCH($B35,'Съставки'!$A$2:$A$34,0)))</f>
        <v/>
      </c>
      <c r="Q35">
        <f>IF($B35="",0,INDEX('Съставки'!$O$2:$O$34,MATCH($B35,'Съставки'!$A$2:$A$34,0)))</f>
        <v/>
      </c>
      <c r="R35">
        <f>IF($B35="",0,INDEX('Съставки'!$P$2:$P$34,MATCH($B35,'Съставки'!$A$2:$A$34,0)))</f>
        <v/>
      </c>
      <c r="S35">
        <f>IF($B35="",0,INDEX('Съставки'!$Q$2:$Q$34,MATCH($B35,'Съставки'!$A$2:$A$34,0)))</f>
        <v/>
      </c>
      <c r="T35">
        <f>IF($B35="",0,INDEX('Съставки'!$R$2:$R$34,MATCH($B35,'Съставки'!$A$2:$A$34,0)))</f>
        <v/>
      </c>
    </row>
    <row r="36">
      <c r="A36" s="17" t="inlineStr">
        <is>
          <t>Искендер кебап</t>
        </is>
      </c>
      <c r="B36" s="5" t="inlineStr">
        <is>
          <t>Кисело мляко</t>
        </is>
      </c>
      <c r="C36" s="18" t="n">
        <v>0.3</v>
      </c>
      <c r="D36" s="19">
        <f>IF($B36="","",INDEX('Съставки'!$B$2:$B$34,MATCH($B36,'Съставки'!$A$2:$A$34,0)))</f>
        <v/>
      </c>
      <c r="E36" s="20">
        <f>IF($B36="","",INDEX('Съставки'!$C$2:$C$34,MATCH($B36,'Съставки'!$A$2:$A$34,0)))</f>
        <v/>
      </c>
      <c r="F36" s="20">
        <f>IF($B36="","",$C36*$E36)</f>
        <v/>
      </c>
      <c r="G36">
        <f>IF($B36="",0,INDEX('Съставки'!$E$2:$E$34,MATCH($B36,'Съставки'!$A$2:$A$34,0)))</f>
        <v/>
      </c>
      <c r="H36">
        <f>IF($B36="",0,INDEX('Съставки'!$F$2:$F$34,MATCH($B36,'Съставки'!$A$2:$A$34,0)))</f>
        <v/>
      </c>
      <c r="I36">
        <f>IF($B36="",0,INDEX('Съставки'!$G$2:$G$34,MATCH($B36,'Съставки'!$A$2:$A$34,0)))</f>
        <v/>
      </c>
      <c r="J36">
        <f>IF($B36="",0,INDEX('Съставки'!$H$2:$H$34,MATCH($B36,'Съставки'!$A$2:$A$34,0)))</f>
        <v/>
      </c>
      <c r="K36">
        <f>IF($B36="",0,INDEX('Съставки'!$I$2:$I$34,MATCH($B36,'Съставки'!$A$2:$A$34,0)))</f>
        <v/>
      </c>
      <c r="L36">
        <f>IF($B36="",0,INDEX('Съставки'!$J$2:$J$34,MATCH($B36,'Съставки'!$A$2:$A$34,0)))</f>
        <v/>
      </c>
      <c r="M36">
        <f>IF($B36="",0,INDEX('Съставки'!$K$2:$K$34,MATCH($B36,'Съставки'!$A$2:$A$34,0)))</f>
        <v/>
      </c>
      <c r="N36">
        <f>IF($B36="",0,INDEX('Съставки'!$L$2:$L$34,MATCH($B36,'Съставки'!$A$2:$A$34,0)))</f>
        <v/>
      </c>
      <c r="O36">
        <f>IF($B36="",0,INDEX('Съставки'!$M$2:$M$34,MATCH($B36,'Съставки'!$A$2:$A$34,0)))</f>
        <v/>
      </c>
      <c r="P36">
        <f>IF($B36="",0,INDEX('Съставки'!$N$2:$N$34,MATCH($B36,'Съставки'!$A$2:$A$34,0)))</f>
        <v/>
      </c>
      <c r="Q36">
        <f>IF($B36="",0,INDEX('Съставки'!$O$2:$O$34,MATCH($B36,'Съставки'!$A$2:$A$34,0)))</f>
        <v/>
      </c>
      <c r="R36">
        <f>IF($B36="",0,INDEX('Съставки'!$P$2:$P$34,MATCH($B36,'Съставки'!$A$2:$A$34,0)))</f>
        <v/>
      </c>
      <c r="S36">
        <f>IF($B36="",0,INDEX('Съставки'!$Q$2:$Q$34,MATCH($B36,'Съставки'!$A$2:$A$34,0)))</f>
        <v/>
      </c>
      <c r="T36">
        <f>IF($B36="",0,INDEX('Съставки'!$R$2:$R$34,MATCH($B36,'Съставки'!$A$2:$A$34,0)))</f>
        <v/>
      </c>
    </row>
    <row r="37">
      <c r="A37" s="17" t="inlineStr">
        <is>
          <t>Искендер кебап</t>
        </is>
      </c>
      <c r="B37" s="5" t="inlineStr">
        <is>
          <t>Домат паста</t>
        </is>
      </c>
      <c r="C37" s="18" t="n">
        <v>0.1</v>
      </c>
      <c r="D37" s="19">
        <f>IF($B37="","",INDEX('Съставки'!$B$2:$B$34,MATCH($B37,'Съставки'!$A$2:$A$34,0)))</f>
        <v/>
      </c>
      <c r="E37" s="20">
        <f>IF($B37="","",INDEX('Съставки'!$C$2:$C$34,MATCH($B37,'Съставки'!$A$2:$A$34,0)))</f>
        <v/>
      </c>
      <c r="F37" s="20">
        <f>IF($B37="","",$C37*$E37)</f>
        <v/>
      </c>
      <c r="G37">
        <f>IF($B37="",0,INDEX('Съставки'!$E$2:$E$34,MATCH($B37,'Съставки'!$A$2:$A$34,0)))</f>
        <v/>
      </c>
      <c r="H37">
        <f>IF($B37="",0,INDEX('Съставки'!$F$2:$F$34,MATCH($B37,'Съставки'!$A$2:$A$34,0)))</f>
        <v/>
      </c>
      <c r="I37">
        <f>IF($B37="",0,INDEX('Съставки'!$G$2:$G$34,MATCH($B37,'Съставки'!$A$2:$A$34,0)))</f>
        <v/>
      </c>
      <c r="J37">
        <f>IF($B37="",0,INDEX('Съставки'!$H$2:$H$34,MATCH($B37,'Съставки'!$A$2:$A$34,0)))</f>
        <v/>
      </c>
      <c r="K37">
        <f>IF($B37="",0,INDEX('Съставки'!$I$2:$I$34,MATCH($B37,'Съставки'!$A$2:$A$34,0)))</f>
        <v/>
      </c>
      <c r="L37">
        <f>IF($B37="",0,INDEX('Съставки'!$J$2:$J$34,MATCH($B37,'Съставки'!$A$2:$A$34,0)))</f>
        <v/>
      </c>
      <c r="M37">
        <f>IF($B37="",0,INDEX('Съставки'!$K$2:$K$34,MATCH($B37,'Съставки'!$A$2:$A$34,0)))</f>
        <v/>
      </c>
      <c r="N37">
        <f>IF($B37="",0,INDEX('Съставки'!$L$2:$L$34,MATCH($B37,'Съставки'!$A$2:$A$34,0)))</f>
        <v/>
      </c>
      <c r="O37">
        <f>IF($B37="",0,INDEX('Съставки'!$M$2:$M$34,MATCH($B37,'Съставки'!$A$2:$A$34,0)))</f>
        <v/>
      </c>
      <c r="P37">
        <f>IF($B37="",0,INDEX('Съставки'!$N$2:$N$34,MATCH($B37,'Съставки'!$A$2:$A$34,0)))</f>
        <v/>
      </c>
      <c r="Q37">
        <f>IF($B37="",0,INDEX('Съставки'!$O$2:$O$34,MATCH($B37,'Съставки'!$A$2:$A$34,0)))</f>
        <v/>
      </c>
      <c r="R37">
        <f>IF($B37="",0,INDEX('Съставки'!$P$2:$P$34,MATCH($B37,'Съставки'!$A$2:$A$34,0)))</f>
        <v/>
      </c>
      <c r="S37">
        <f>IF($B37="",0,INDEX('Съставки'!$Q$2:$Q$34,MATCH($B37,'Съставки'!$A$2:$A$34,0)))</f>
        <v/>
      </c>
      <c r="T37">
        <f>IF($B37="",0,INDEX('Съставки'!$R$2:$R$34,MATCH($B37,'Съставки'!$A$2:$A$34,0)))</f>
        <v/>
      </c>
    </row>
    <row r="38">
      <c r="A38" s="17" t="inlineStr">
        <is>
          <t>Искендер кебап</t>
        </is>
      </c>
      <c r="B38" s="5" t="inlineStr">
        <is>
          <t>Масло</t>
        </is>
      </c>
      <c r="C38" s="18" t="n">
        <v>0.08</v>
      </c>
      <c r="D38" s="19">
        <f>IF($B38="","",INDEX('Съставки'!$B$2:$B$34,MATCH($B38,'Съставки'!$A$2:$A$34,0)))</f>
        <v/>
      </c>
      <c r="E38" s="20">
        <f>IF($B38="","",INDEX('Съставки'!$C$2:$C$34,MATCH($B38,'Съставки'!$A$2:$A$34,0)))</f>
        <v/>
      </c>
      <c r="F38" s="20">
        <f>IF($B38="","",$C38*$E38)</f>
        <v/>
      </c>
      <c r="G38">
        <f>IF($B38="",0,INDEX('Съставки'!$E$2:$E$34,MATCH($B38,'Съставки'!$A$2:$A$34,0)))</f>
        <v/>
      </c>
      <c r="H38">
        <f>IF($B38="",0,INDEX('Съставки'!$F$2:$F$34,MATCH($B38,'Съставки'!$A$2:$A$34,0)))</f>
        <v/>
      </c>
      <c r="I38">
        <f>IF($B38="",0,INDEX('Съставки'!$G$2:$G$34,MATCH($B38,'Съставки'!$A$2:$A$34,0)))</f>
        <v/>
      </c>
      <c r="J38">
        <f>IF($B38="",0,INDEX('Съставки'!$H$2:$H$34,MATCH($B38,'Съставки'!$A$2:$A$34,0)))</f>
        <v/>
      </c>
      <c r="K38">
        <f>IF($B38="",0,INDEX('Съставки'!$I$2:$I$34,MATCH($B38,'Съставки'!$A$2:$A$34,0)))</f>
        <v/>
      </c>
      <c r="L38">
        <f>IF($B38="",0,INDEX('Съставки'!$J$2:$J$34,MATCH($B38,'Съставки'!$A$2:$A$34,0)))</f>
        <v/>
      </c>
      <c r="M38">
        <f>IF($B38="",0,INDEX('Съставки'!$K$2:$K$34,MATCH($B38,'Съставки'!$A$2:$A$34,0)))</f>
        <v/>
      </c>
      <c r="N38">
        <f>IF($B38="",0,INDEX('Съставки'!$L$2:$L$34,MATCH($B38,'Съставки'!$A$2:$A$34,0)))</f>
        <v/>
      </c>
      <c r="O38">
        <f>IF($B38="",0,INDEX('Съставки'!$M$2:$M$34,MATCH($B38,'Съставки'!$A$2:$A$34,0)))</f>
        <v/>
      </c>
      <c r="P38">
        <f>IF($B38="",0,INDEX('Съставки'!$N$2:$N$34,MATCH($B38,'Съставки'!$A$2:$A$34,0)))</f>
        <v/>
      </c>
      <c r="Q38">
        <f>IF($B38="",0,INDEX('Съставки'!$O$2:$O$34,MATCH($B38,'Съставки'!$A$2:$A$34,0)))</f>
        <v/>
      </c>
      <c r="R38">
        <f>IF($B38="",0,INDEX('Съставки'!$P$2:$P$34,MATCH($B38,'Съставки'!$A$2:$A$34,0)))</f>
        <v/>
      </c>
      <c r="S38">
        <f>IF($B38="",0,INDEX('Съставки'!$Q$2:$Q$34,MATCH($B38,'Съставки'!$A$2:$A$34,0)))</f>
        <v/>
      </c>
      <c r="T38">
        <f>IF($B38="",0,INDEX('Съставки'!$R$2:$R$34,MATCH($B38,'Съставки'!$A$2:$A$34,0)))</f>
        <v/>
      </c>
    </row>
    <row r="39">
      <c r="A39" s="17" t="inlineStr">
        <is>
          <t>Искендер кебап</t>
        </is>
      </c>
      <c r="B39" s="5" t="inlineStr">
        <is>
          <t>Домати</t>
        </is>
      </c>
      <c r="C39" s="18" t="n">
        <v>0.15</v>
      </c>
      <c r="D39" s="19">
        <f>IF($B39="","",INDEX('Съставки'!$B$2:$B$34,MATCH($B39,'Съставки'!$A$2:$A$34,0)))</f>
        <v/>
      </c>
      <c r="E39" s="20">
        <f>IF($B39="","",INDEX('Съставки'!$C$2:$C$34,MATCH($B39,'Съставки'!$A$2:$A$34,0)))</f>
        <v/>
      </c>
      <c r="F39" s="20">
        <f>IF($B39="","",$C39*$E39)</f>
        <v/>
      </c>
      <c r="G39">
        <f>IF($B39="",0,INDEX('Съставки'!$E$2:$E$34,MATCH($B39,'Съставки'!$A$2:$A$34,0)))</f>
        <v/>
      </c>
      <c r="H39">
        <f>IF($B39="",0,INDEX('Съставки'!$F$2:$F$34,MATCH($B39,'Съставки'!$A$2:$A$34,0)))</f>
        <v/>
      </c>
      <c r="I39">
        <f>IF($B39="",0,INDEX('Съставки'!$G$2:$G$34,MATCH($B39,'Съставки'!$A$2:$A$34,0)))</f>
        <v/>
      </c>
      <c r="J39">
        <f>IF($B39="",0,INDEX('Съставки'!$H$2:$H$34,MATCH($B39,'Съставки'!$A$2:$A$34,0)))</f>
        <v/>
      </c>
      <c r="K39">
        <f>IF($B39="",0,INDEX('Съставки'!$I$2:$I$34,MATCH($B39,'Съставки'!$A$2:$A$34,0)))</f>
        <v/>
      </c>
      <c r="L39">
        <f>IF($B39="",0,INDEX('Съставки'!$J$2:$J$34,MATCH($B39,'Съставки'!$A$2:$A$34,0)))</f>
        <v/>
      </c>
      <c r="M39">
        <f>IF($B39="",0,INDEX('Съставки'!$K$2:$K$34,MATCH($B39,'Съставки'!$A$2:$A$34,0)))</f>
        <v/>
      </c>
      <c r="N39">
        <f>IF($B39="",0,INDEX('Съставки'!$L$2:$L$34,MATCH($B39,'Съставки'!$A$2:$A$34,0)))</f>
        <v/>
      </c>
      <c r="O39">
        <f>IF($B39="",0,INDEX('Съставки'!$M$2:$M$34,MATCH($B39,'Съставки'!$A$2:$A$34,0)))</f>
        <v/>
      </c>
      <c r="P39">
        <f>IF($B39="",0,INDEX('Съставки'!$N$2:$N$34,MATCH($B39,'Съставки'!$A$2:$A$34,0)))</f>
        <v/>
      </c>
      <c r="Q39">
        <f>IF($B39="",0,INDEX('Съставки'!$O$2:$O$34,MATCH($B39,'Съставки'!$A$2:$A$34,0)))</f>
        <v/>
      </c>
      <c r="R39">
        <f>IF($B39="",0,INDEX('Съставки'!$P$2:$P$34,MATCH($B39,'Съставки'!$A$2:$A$34,0)))</f>
        <v/>
      </c>
      <c r="S39">
        <f>IF($B39="",0,INDEX('Съставки'!$Q$2:$Q$34,MATCH($B39,'Съставки'!$A$2:$A$34,0)))</f>
        <v/>
      </c>
      <c r="T39">
        <f>IF($B39="",0,INDEX('Съставки'!$R$2:$R$34,MATCH($B39,'Съставки'!$A$2:$A$34,0)))</f>
        <v/>
      </c>
    </row>
    <row r="40">
      <c r="A40" s="21" t="inlineStr">
        <is>
          <t>ОБЩА СЕБЕСТОЙНОСТ:</t>
        </is>
      </c>
      <c r="F40" s="22">
        <f>SUM(F34:F39)</f>
        <v/>
      </c>
    </row>
    <row r="42" ht="20" customHeight="1">
      <c r="A42" s="10" t="inlineStr">
        <is>
          <t>Адана кебап  /  Adana Kebab</t>
        </is>
      </c>
    </row>
    <row r="43">
      <c r="A43" s="11" t="inlineStr">
        <is>
          <t>Категория:</t>
        </is>
      </c>
      <c r="B43" s="12" t="inlineStr">
        <is>
          <t>Основни</t>
        </is>
      </c>
      <c r="C43" s="11" t="inlineStr">
        <is>
          <t>Порции:</t>
        </is>
      </c>
      <c r="D43" s="13">
        <f>INDEX('Рецепти'!$E:$E,5)</f>
        <v/>
      </c>
      <c r="E43" s="11" t="inlineStr">
        <is>
          <t>Себестойност/порция:</t>
        </is>
      </c>
      <c r="F43" s="14">
        <f>INDEX('Рецепти'!$G:$G,5)</f>
        <v/>
      </c>
    </row>
    <row r="44" ht="30" customHeight="1">
      <c r="A44" s="15" t="inlineStr">
        <is>
          <t>Приготвяне: Смесете каймите с подправките и лука, оформете на шишове, изпечете на скара. Поднесете с топла пита.</t>
        </is>
      </c>
    </row>
    <row r="45">
      <c r="A45" s="16" t="inlineStr">
        <is>
          <t>Ястие (за справка)</t>
        </is>
      </c>
      <c r="B45" s="16" t="inlineStr">
        <is>
          <t>Съставка</t>
        </is>
      </c>
      <c r="C45" s="16" t="inlineStr">
        <is>
          <t>Количество</t>
        </is>
      </c>
      <c r="D45" s="16" t="inlineStr">
        <is>
          <t>Мярка</t>
        </is>
      </c>
      <c r="E45" s="16" t="inlineStr">
        <is>
          <t>Цена/ед. (лв)</t>
        </is>
      </c>
      <c r="F45" s="16" t="inlineStr">
        <is>
          <t>Стойност (лв)</t>
        </is>
      </c>
    </row>
    <row r="46">
      <c r="A46" s="17" t="inlineStr">
        <is>
          <t>Адана кебап</t>
        </is>
      </c>
      <c r="B46" s="5" t="inlineStr">
        <is>
          <t>Агнешко месо</t>
        </is>
      </c>
      <c r="C46" s="18" t="n">
        <v>0.5</v>
      </c>
      <c r="D46" s="19">
        <f>IF($B46="","",INDEX('Съставки'!$B$2:$B$34,MATCH($B46,'Съставки'!$A$2:$A$34,0)))</f>
        <v/>
      </c>
      <c r="E46" s="20">
        <f>IF($B46="","",INDEX('Съставки'!$C$2:$C$34,MATCH($B46,'Съставки'!$A$2:$A$34,0)))</f>
        <v/>
      </c>
      <c r="F46" s="20">
        <f>IF($B46="","",$C46*$E46)</f>
        <v/>
      </c>
      <c r="G46">
        <f>IF($B46="",0,INDEX('Съставки'!$E$2:$E$34,MATCH($B46,'Съставки'!$A$2:$A$34,0)))</f>
        <v/>
      </c>
      <c r="H46">
        <f>IF($B46="",0,INDEX('Съставки'!$F$2:$F$34,MATCH($B46,'Съставки'!$A$2:$A$34,0)))</f>
        <v/>
      </c>
      <c r="I46">
        <f>IF($B46="",0,INDEX('Съставки'!$G$2:$G$34,MATCH($B46,'Съставки'!$A$2:$A$34,0)))</f>
        <v/>
      </c>
      <c r="J46">
        <f>IF($B46="",0,INDEX('Съставки'!$H$2:$H$34,MATCH($B46,'Съставки'!$A$2:$A$34,0)))</f>
        <v/>
      </c>
      <c r="K46">
        <f>IF($B46="",0,INDEX('Съставки'!$I$2:$I$34,MATCH($B46,'Съставки'!$A$2:$A$34,0)))</f>
        <v/>
      </c>
      <c r="L46">
        <f>IF($B46="",0,INDEX('Съставки'!$J$2:$J$34,MATCH($B46,'Съставки'!$A$2:$A$34,0)))</f>
        <v/>
      </c>
      <c r="M46">
        <f>IF($B46="",0,INDEX('Съставки'!$K$2:$K$34,MATCH($B46,'Съставки'!$A$2:$A$34,0)))</f>
        <v/>
      </c>
      <c r="N46">
        <f>IF($B46="",0,INDEX('Съставки'!$L$2:$L$34,MATCH($B46,'Съставки'!$A$2:$A$34,0)))</f>
        <v/>
      </c>
      <c r="O46">
        <f>IF($B46="",0,INDEX('Съставки'!$M$2:$M$34,MATCH($B46,'Съставки'!$A$2:$A$34,0)))</f>
        <v/>
      </c>
      <c r="P46">
        <f>IF($B46="",0,INDEX('Съставки'!$N$2:$N$34,MATCH($B46,'Съставки'!$A$2:$A$34,0)))</f>
        <v/>
      </c>
      <c r="Q46">
        <f>IF($B46="",0,INDEX('Съставки'!$O$2:$O$34,MATCH($B46,'Съставки'!$A$2:$A$34,0)))</f>
        <v/>
      </c>
      <c r="R46">
        <f>IF($B46="",0,INDEX('Съставки'!$P$2:$P$34,MATCH($B46,'Съставки'!$A$2:$A$34,0)))</f>
        <v/>
      </c>
      <c r="S46">
        <f>IF($B46="",0,INDEX('Съставки'!$Q$2:$Q$34,MATCH($B46,'Съставки'!$A$2:$A$34,0)))</f>
        <v/>
      </c>
      <c r="T46">
        <f>IF($B46="",0,INDEX('Съставки'!$R$2:$R$34,MATCH($B46,'Съставки'!$A$2:$A$34,0)))</f>
        <v/>
      </c>
    </row>
    <row r="47">
      <c r="A47" s="17" t="inlineStr">
        <is>
          <t>Адана кебап</t>
        </is>
      </c>
      <c r="B47" s="5" t="inlineStr">
        <is>
          <t>Телешко месо кайма</t>
        </is>
      </c>
      <c r="C47" s="18" t="n">
        <v>0.3</v>
      </c>
      <c r="D47" s="19">
        <f>IF($B47="","",INDEX('Съставки'!$B$2:$B$34,MATCH($B47,'Съставки'!$A$2:$A$34,0)))</f>
        <v/>
      </c>
      <c r="E47" s="20">
        <f>IF($B47="","",INDEX('Съставки'!$C$2:$C$34,MATCH($B47,'Съставки'!$A$2:$A$34,0)))</f>
        <v/>
      </c>
      <c r="F47" s="20">
        <f>IF($B47="","",$C47*$E47)</f>
        <v/>
      </c>
      <c r="G47">
        <f>IF($B47="",0,INDEX('Съставки'!$E$2:$E$34,MATCH($B47,'Съставки'!$A$2:$A$34,0)))</f>
        <v/>
      </c>
      <c r="H47">
        <f>IF($B47="",0,INDEX('Съставки'!$F$2:$F$34,MATCH($B47,'Съставки'!$A$2:$A$34,0)))</f>
        <v/>
      </c>
      <c r="I47">
        <f>IF($B47="",0,INDEX('Съставки'!$G$2:$G$34,MATCH($B47,'Съставки'!$A$2:$A$34,0)))</f>
        <v/>
      </c>
      <c r="J47">
        <f>IF($B47="",0,INDEX('Съставки'!$H$2:$H$34,MATCH($B47,'Съставки'!$A$2:$A$34,0)))</f>
        <v/>
      </c>
      <c r="K47">
        <f>IF($B47="",0,INDEX('Съставки'!$I$2:$I$34,MATCH($B47,'Съставки'!$A$2:$A$34,0)))</f>
        <v/>
      </c>
      <c r="L47">
        <f>IF($B47="",0,INDEX('Съставки'!$J$2:$J$34,MATCH($B47,'Съставки'!$A$2:$A$34,0)))</f>
        <v/>
      </c>
      <c r="M47">
        <f>IF($B47="",0,INDEX('Съставки'!$K$2:$K$34,MATCH($B47,'Съставки'!$A$2:$A$34,0)))</f>
        <v/>
      </c>
      <c r="N47">
        <f>IF($B47="",0,INDEX('Съставки'!$L$2:$L$34,MATCH($B47,'Съставки'!$A$2:$A$34,0)))</f>
        <v/>
      </c>
      <c r="O47">
        <f>IF($B47="",0,INDEX('Съставки'!$M$2:$M$34,MATCH($B47,'Съставки'!$A$2:$A$34,0)))</f>
        <v/>
      </c>
      <c r="P47">
        <f>IF($B47="",0,INDEX('Съставки'!$N$2:$N$34,MATCH($B47,'Съставки'!$A$2:$A$34,0)))</f>
        <v/>
      </c>
      <c r="Q47">
        <f>IF($B47="",0,INDEX('Съставки'!$O$2:$O$34,MATCH($B47,'Съставки'!$A$2:$A$34,0)))</f>
        <v/>
      </c>
      <c r="R47">
        <f>IF($B47="",0,INDEX('Съставки'!$P$2:$P$34,MATCH($B47,'Съставки'!$A$2:$A$34,0)))</f>
        <v/>
      </c>
      <c r="S47">
        <f>IF($B47="",0,INDEX('Съставки'!$Q$2:$Q$34,MATCH($B47,'Съставки'!$A$2:$A$34,0)))</f>
        <v/>
      </c>
      <c r="T47">
        <f>IF($B47="",0,INDEX('Съставки'!$R$2:$R$34,MATCH($B47,'Съставки'!$A$2:$A$34,0)))</f>
        <v/>
      </c>
    </row>
    <row r="48">
      <c r="A48" s="17" t="inlineStr">
        <is>
          <t>Адана кебап</t>
        </is>
      </c>
      <c r="B48" s="5" t="inlineStr">
        <is>
          <t>Червен лук</t>
        </is>
      </c>
      <c r="C48" s="18" t="n">
        <v>0.1</v>
      </c>
      <c r="D48" s="19">
        <f>IF($B48="","",INDEX('Съставки'!$B$2:$B$34,MATCH($B48,'Съставки'!$A$2:$A$34,0)))</f>
        <v/>
      </c>
      <c r="E48" s="20">
        <f>IF($B48="","",INDEX('Съставки'!$C$2:$C$34,MATCH($B48,'Съставки'!$A$2:$A$34,0)))</f>
        <v/>
      </c>
      <c r="F48" s="20">
        <f>IF($B48="","",$C48*$E48)</f>
        <v/>
      </c>
      <c r="G48">
        <f>IF($B48="",0,INDEX('Съставки'!$E$2:$E$34,MATCH($B48,'Съставки'!$A$2:$A$34,0)))</f>
        <v/>
      </c>
      <c r="H48">
        <f>IF($B48="",0,INDEX('Съставки'!$F$2:$F$34,MATCH($B48,'Съставки'!$A$2:$A$34,0)))</f>
        <v/>
      </c>
      <c r="I48">
        <f>IF($B48="",0,INDEX('Съставки'!$G$2:$G$34,MATCH($B48,'Съставки'!$A$2:$A$34,0)))</f>
        <v/>
      </c>
      <c r="J48">
        <f>IF($B48="",0,INDEX('Съставки'!$H$2:$H$34,MATCH($B48,'Съставки'!$A$2:$A$34,0)))</f>
        <v/>
      </c>
      <c r="K48">
        <f>IF($B48="",0,INDEX('Съставки'!$I$2:$I$34,MATCH($B48,'Съставки'!$A$2:$A$34,0)))</f>
        <v/>
      </c>
      <c r="L48">
        <f>IF($B48="",0,INDEX('Съставки'!$J$2:$J$34,MATCH($B48,'Съставки'!$A$2:$A$34,0)))</f>
        <v/>
      </c>
      <c r="M48">
        <f>IF($B48="",0,INDEX('Съставки'!$K$2:$K$34,MATCH($B48,'Съставки'!$A$2:$A$34,0)))</f>
        <v/>
      </c>
      <c r="N48">
        <f>IF($B48="",0,INDEX('Съставки'!$L$2:$L$34,MATCH($B48,'Съставки'!$A$2:$A$34,0)))</f>
        <v/>
      </c>
      <c r="O48">
        <f>IF($B48="",0,INDEX('Съставки'!$M$2:$M$34,MATCH($B48,'Съставки'!$A$2:$A$34,0)))</f>
        <v/>
      </c>
      <c r="P48">
        <f>IF($B48="",0,INDEX('Съставки'!$N$2:$N$34,MATCH($B48,'Съставки'!$A$2:$A$34,0)))</f>
        <v/>
      </c>
      <c r="Q48">
        <f>IF($B48="",0,INDEX('Съставки'!$O$2:$O$34,MATCH($B48,'Съставки'!$A$2:$A$34,0)))</f>
        <v/>
      </c>
      <c r="R48">
        <f>IF($B48="",0,INDEX('Съставки'!$P$2:$P$34,MATCH($B48,'Съставки'!$A$2:$A$34,0)))</f>
        <v/>
      </c>
      <c r="S48">
        <f>IF($B48="",0,INDEX('Съставки'!$Q$2:$Q$34,MATCH($B48,'Съставки'!$A$2:$A$34,0)))</f>
        <v/>
      </c>
      <c r="T48">
        <f>IF($B48="",0,INDEX('Съставки'!$R$2:$R$34,MATCH($B48,'Съставки'!$A$2:$A$34,0)))</f>
        <v/>
      </c>
    </row>
    <row r="49">
      <c r="A49" s="17" t="inlineStr">
        <is>
          <t>Адана кебап</t>
        </is>
      </c>
      <c r="B49" s="5" t="inlineStr">
        <is>
          <t>Червен пипер (лют)</t>
        </is>
      </c>
      <c r="C49" s="18" t="n">
        <v>0.015</v>
      </c>
      <c r="D49" s="19">
        <f>IF($B49="","",INDEX('Съставки'!$B$2:$B$34,MATCH($B49,'Съставки'!$A$2:$A$34,0)))</f>
        <v/>
      </c>
      <c r="E49" s="20">
        <f>IF($B49="","",INDEX('Съставки'!$C$2:$C$34,MATCH($B49,'Съставки'!$A$2:$A$34,0)))</f>
        <v/>
      </c>
      <c r="F49" s="20">
        <f>IF($B49="","",$C49*$E49)</f>
        <v/>
      </c>
      <c r="G49">
        <f>IF($B49="",0,INDEX('Съставки'!$E$2:$E$34,MATCH($B49,'Съставки'!$A$2:$A$34,0)))</f>
        <v/>
      </c>
      <c r="H49">
        <f>IF($B49="",0,INDEX('Съставки'!$F$2:$F$34,MATCH($B49,'Съставки'!$A$2:$A$34,0)))</f>
        <v/>
      </c>
      <c r="I49">
        <f>IF($B49="",0,INDEX('Съставки'!$G$2:$G$34,MATCH($B49,'Съставки'!$A$2:$A$34,0)))</f>
        <v/>
      </c>
      <c r="J49">
        <f>IF($B49="",0,INDEX('Съставки'!$H$2:$H$34,MATCH($B49,'Съставки'!$A$2:$A$34,0)))</f>
        <v/>
      </c>
      <c r="K49">
        <f>IF($B49="",0,INDEX('Съставки'!$I$2:$I$34,MATCH($B49,'Съставки'!$A$2:$A$34,0)))</f>
        <v/>
      </c>
      <c r="L49">
        <f>IF($B49="",0,INDEX('Съставки'!$J$2:$J$34,MATCH($B49,'Съставки'!$A$2:$A$34,0)))</f>
        <v/>
      </c>
      <c r="M49">
        <f>IF($B49="",0,INDEX('Съставки'!$K$2:$K$34,MATCH($B49,'Съставки'!$A$2:$A$34,0)))</f>
        <v/>
      </c>
      <c r="N49">
        <f>IF($B49="",0,INDEX('Съставки'!$L$2:$L$34,MATCH($B49,'Съставки'!$A$2:$A$34,0)))</f>
        <v/>
      </c>
      <c r="O49">
        <f>IF($B49="",0,INDEX('Съставки'!$M$2:$M$34,MATCH($B49,'Съставки'!$A$2:$A$34,0)))</f>
        <v/>
      </c>
      <c r="P49">
        <f>IF($B49="",0,INDEX('Съставки'!$N$2:$N$34,MATCH($B49,'Съставки'!$A$2:$A$34,0)))</f>
        <v/>
      </c>
      <c r="Q49">
        <f>IF($B49="",0,INDEX('Съставки'!$O$2:$O$34,MATCH($B49,'Съставки'!$A$2:$A$34,0)))</f>
        <v/>
      </c>
      <c r="R49">
        <f>IF($B49="",0,INDEX('Съставки'!$P$2:$P$34,MATCH($B49,'Съставки'!$A$2:$A$34,0)))</f>
        <v/>
      </c>
      <c r="S49">
        <f>IF($B49="",0,INDEX('Съставки'!$Q$2:$Q$34,MATCH($B49,'Съставки'!$A$2:$A$34,0)))</f>
        <v/>
      </c>
      <c r="T49">
        <f>IF($B49="",0,INDEX('Съставки'!$R$2:$R$34,MATCH($B49,'Съставки'!$A$2:$A$34,0)))</f>
        <v/>
      </c>
    </row>
    <row r="50">
      <c r="A50" s="17" t="inlineStr">
        <is>
          <t>Адана кебап</t>
        </is>
      </c>
      <c r="B50" s="5" t="inlineStr">
        <is>
          <t>Сол</t>
        </is>
      </c>
      <c r="C50" s="18" t="n">
        <v>0.01</v>
      </c>
      <c r="D50" s="19">
        <f>IF($B50="","",INDEX('Съставки'!$B$2:$B$34,MATCH($B50,'Съставки'!$A$2:$A$34,0)))</f>
        <v/>
      </c>
      <c r="E50" s="20">
        <f>IF($B50="","",INDEX('Съставки'!$C$2:$C$34,MATCH($B50,'Съставки'!$A$2:$A$34,0)))</f>
        <v/>
      </c>
      <c r="F50" s="20">
        <f>IF($B50="","",$C50*$E50)</f>
        <v/>
      </c>
      <c r="G50">
        <f>IF($B50="",0,INDEX('Съставки'!$E$2:$E$34,MATCH($B50,'Съставки'!$A$2:$A$34,0)))</f>
        <v/>
      </c>
      <c r="H50">
        <f>IF($B50="",0,INDEX('Съставки'!$F$2:$F$34,MATCH($B50,'Съставки'!$A$2:$A$34,0)))</f>
        <v/>
      </c>
      <c r="I50">
        <f>IF($B50="",0,INDEX('Съставки'!$G$2:$G$34,MATCH($B50,'Съставки'!$A$2:$A$34,0)))</f>
        <v/>
      </c>
      <c r="J50">
        <f>IF($B50="",0,INDEX('Съставки'!$H$2:$H$34,MATCH($B50,'Съставки'!$A$2:$A$34,0)))</f>
        <v/>
      </c>
      <c r="K50">
        <f>IF($B50="",0,INDEX('Съставки'!$I$2:$I$34,MATCH($B50,'Съставки'!$A$2:$A$34,0)))</f>
        <v/>
      </c>
      <c r="L50">
        <f>IF($B50="",0,INDEX('Съставки'!$J$2:$J$34,MATCH($B50,'Съставки'!$A$2:$A$34,0)))</f>
        <v/>
      </c>
      <c r="M50">
        <f>IF($B50="",0,INDEX('Съставки'!$K$2:$K$34,MATCH($B50,'Съставки'!$A$2:$A$34,0)))</f>
        <v/>
      </c>
      <c r="N50">
        <f>IF($B50="",0,INDEX('Съставки'!$L$2:$L$34,MATCH($B50,'Съставки'!$A$2:$A$34,0)))</f>
        <v/>
      </c>
      <c r="O50">
        <f>IF($B50="",0,INDEX('Съставки'!$M$2:$M$34,MATCH($B50,'Съставки'!$A$2:$A$34,0)))</f>
        <v/>
      </c>
      <c r="P50">
        <f>IF($B50="",0,INDEX('Съставки'!$N$2:$N$34,MATCH($B50,'Съставки'!$A$2:$A$34,0)))</f>
        <v/>
      </c>
      <c r="Q50">
        <f>IF($B50="",0,INDEX('Съставки'!$O$2:$O$34,MATCH($B50,'Съставки'!$A$2:$A$34,0)))</f>
        <v/>
      </c>
      <c r="R50">
        <f>IF($B50="",0,INDEX('Съставки'!$P$2:$P$34,MATCH($B50,'Съставки'!$A$2:$A$34,0)))</f>
        <v/>
      </c>
      <c r="S50">
        <f>IF($B50="",0,INDEX('Съставки'!$Q$2:$Q$34,MATCH($B50,'Съставки'!$A$2:$A$34,0)))</f>
        <v/>
      </c>
      <c r="T50">
        <f>IF($B50="",0,INDEX('Съставки'!$R$2:$R$34,MATCH($B50,'Съставки'!$A$2:$A$34,0)))</f>
        <v/>
      </c>
    </row>
    <row r="51">
      <c r="A51" s="17" t="inlineStr">
        <is>
          <t>Адана кебап</t>
        </is>
      </c>
      <c r="B51" s="5" t="inlineStr">
        <is>
          <t>Пита хляб</t>
        </is>
      </c>
      <c r="C51" s="18" t="n">
        <v>4</v>
      </c>
      <c r="D51" s="19">
        <f>IF($B51="","",INDEX('Съставки'!$B$2:$B$34,MATCH($B51,'Съставки'!$A$2:$A$34,0)))</f>
        <v/>
      </c>
      <c r="E51" s="20">
        <f>IF($B51="","",INDEX('Съставки'!$C$2:$C$34,MATCH($B51,'Съставки'!$A$2:$A$34,0)))</f>
        <v/>
      </c>
      <c r="F51" s="20">
        <f>IF($B51="","",$C51*$E51)</f>
        <v/>
      </c>
      <c r="G51">
        <f>IF($B51="",0,INDEX('Съставки'!$E$2:$E$34,MATCH($B51,'Съставки'!$A$2:$A$34,0)))</f>
        <v/>
      </c>
      <c r="H51">
        <f>IF($B51="",0,INDEX('Съставки'!$F$2:$F$34,MATCH($B51,'Съставки'!$A$2:$A$34,0)))</f>
        <v/>
      </c>
      <c r="I51">
        <f>IF($B51="",0,INDEX('Съставки'!$G$2:$G$34,MATCH($B51,'Съставки'!$A$2:$A$34,0)))</f>
        <v/>
      </c>
      <c r="J51">
        <f>IF($B51="",0,INDEX('Съставки'!$H$2:$H$34,MATCH($B51,'Съставки'!$A$2:$A$34,0)))</f>
        <v/>
      </c>
      <c r="K51">
        <f>IF($B51="",0,INDEX('Съставки'!$I$2:$I$34,MATCH($B51,'Съставки'!$A$2:$A$34,0)))</f>
        <v/>
      </c>
      <c r="L51">
        <f>IF($B51="",0,INDEX('Съставки'!$J$2:$J$34,MATCH($B51,'Съставки'!$A$2:$A$34,0)))</f>
        <v/>
      </c>
      <c r="M51">
        <f>IF($B51="",0,INDEX('Съставки'!$K$2:$K$34,MATCH($B51,'Съставки'!$A$2:$A$34,0)))</f>
        <v/>
      </c>
      <c r="N51">
        <f>IF($B51="",0,INDEX('Съставки'!$L$2:$L$34,MATCH($B51,'Съставки'!$A$2:$A$34,0)))</f>
        <v/>
      </c>
      <c r="O51">
        <f>IF($B51="",0,INDEX('Съставки'!$M$2:$M$34,MATCH($B51,'Съставки'!$A$2:$A$34,0)))</f>
        <v/>
      </c>
      <c r="P51">
        <f>IF($B51="",0,INDEX('Съставки'!$N$2:$N$34,MATCH($B51,'Съставки'!$A$2:$A$34,0)))</f>
        <v/>
      </c>
      <c r="Q51">
        <f>IF($B51="",0,INDEX('Съставки'!$O$2:$O$34,MATCH($B51,'Съставки'!$A$2:$A$34,0)))</f>
        <v/>
      </c>
      <c r="R51">
        <f>IF($B51="",0,INDEX('Съставки'!$P$2:$P$34,MATCH($B51,'Съставки'!$A$2:$A$34,0)))</f>
        <v/>
      </c>
      <c r="S51">
        <f>IF($B51="",0,INDEX('Съставки'!$Q$2:$Q$34,MATCH($B51,'Съставки'!$A$2:$A$34,0)))</f>
        <v/>
      </c>
      <c r="T51">
        <f>IF($B51="",0,INDEX('Съставки'!$R$2:$R$34,MATCH($B51,'Съставки'!$A$2:$A$34,0)))</f>
        <v/>
      </c>
    </row>
    <row r="52">
      <c r="A52" s="21" t="inlineStr">
        <is>
          <t>ОБЩА СЕБЕСТОЙНОСТ:</t>
        </is>
      </c>
      <c r="F52" s="22">
        <f>SUM(F46:F51)</f>
        <v/>
      </c>
    </row>
    <row r="54" ht="20" customHeight="1">
      <c r="A54" s="10" t="inlineStr">
        <is>
          <t>Мантъ  /  Turkish Mantı</t>
        </is>
      </c>
    </row>
    <row r="55">
      <c r="A55" s="11" t="inlineStr">
        <is>
          <t>Категория:</t>
        </is>
      </c>
      <c r="B55" s="12" t="inlineStr">
        <is>
          <t>Основни</t>
        </is>
      </c>
      <c r="C55" s="11" t="inlineStr">
        <is>
          <t>Порции:</t>
        </is>
      </c>
      <c r="D55" s="13">
        <f>INDEX('Рецепти'!$E:$E,6)</f>
        <v/>
      </c>
      <c r="E55" s="11" t="inlineStr">
        <is>
          <t>Себестойност/порция:</t>
        </is>
      </c>
      <c r="F55" s="14">
        <f>INDEX('Рецепти'!$G:$G,6)</f>
        <v/>
      </c>
    </row>
    <row r="56" ht="30" customHeight="1">
      <c r="A56" s="15" t="inlineStr">
        <is>
          <t>Приготвяне: Замесете тесто от брашно и яйца, разточете тънко и нарежете на квадратчета. Пълнете с кайма и лук, оформете и сварете. Полейте с чеснов кисело мляко и масло.</t>
        </is>
      </c>
    </row>
    <row r="57">
      <c r="A57" s="16" t="inlineStr">
        <is>
          <t>Ястие (за справка)</t>
        </is>
      </c>
      <c r="B57" s="16" t="inlineStr">
        <is>
          <t>Съставка</t>
        </is>
      </c>
      <c r="C57" s="16" t="inlineStr">
        <is>
          <t>Количество</t>
        </is>
      </c>
      <c r="D57" s="16" t="inlineStr">
        <is>
          <t>Мярка</t>
        </is>
      </c>
      <c r="E57" s="16" t="inlineStr">
        <is>
          <t>Цена/ед. (лв)</t>
        </is>
      </c>
      <c r="F57" s="16" t="inlineStr">
        <is>
          <t>Стойност (лв)</t>
        </is>
      </c>
    </row>
    <row r="58">
      <c r="A58" s="17" t="inlineStr">
        <is>
          <t>Мантъ</t>
        </is>
      </c>
      <c r="B58" s="5" t="inlineStr">
        <is>
          <t>Пшенично брашно</t>
        </is>
      </c>
      <c r="C58" s="18" t="n">
        <v>0.4</v>
      </c>
      <c r="D58" s="19">
        <f>IF($B58="","",INDEX('Съставки'!$B$2:$B$34,MATCH($B58,'Съставки'!$A$2:$A$34,0)))</f>
        <v/>
      </c>
      <c r="E58" s="20">
        <f>IF($B58="","",INDEX('Съставки'!$C$2:$C$34,MATCH($B58,'Съставки'!$A$2:$A$34,0)))</f>
        <v/>
      </c>
      <c r="F58" s="20">
        <f>IF($B58="","",$C58*$E58)</f>
        <v/>
      </c>
      <c r="G58">
        <f>IF($B58="",0,INDEX('Съставки'!$E$2:$E$34,MATCH($B58,'Съставки'!$A$2:$A$34,0)))</f>
        <v/>
      </c>
      <c r="H58">
        <f>IF($B58="",0,INDEX('Съставки'!$F$2:$F$34,MATCH($B58,'Съставки'!$A$2:$A$34,0)))</f>
        <v/>
      </c>
      <c r="I58">
        <f>IF($B58="",0,INDEX('Съставки'!$G$2:$G$34,MATCH($B58,'Съставки'!$A$2:$A$34,0)))</f>
        <v/>
      </c>
      <c r="J58">
        <f>IF($B58="",0,INDEX('Съставки'!$H$2:$H$34,MATCH($B58,'Съставки'!$A$2:$A$34,0)))</f>
        <v/>
      </c>
      <c r="K58">
        <f>IF($B58="",0,INDEX('Съставки'!$I$2:$I$34,MATCH($B58,'Съставки'!$A$2:$A$34,0)))</f>
        <v/>
      </c>
      <c r="L58">
        <f>IF($B58="",0,INDEX('Съставки'!$J$2:$J$34,MATCH($B58,'Съставки'!$A$2:$A$34,0)))</f>
        <v/>
      </c>
      <c r="M58">
        <f>IF($B58="",0,INDEX('Съставки'!$K$2:$K$34,MATCH($B58,'Съставки'!$A$2:$A$34,0)))</f>
        <v/>
      </c>
      <c r="N58">
        <f>IF($B58="",0,INDEX('Съставки'!$L$2:$L$34,MATCH($B58,'Съставки'!$A$2:$A$34,0)))</f>
        <v/>
      </c>
      <c r="O58">
        <f>IF($B58="",0,INDEX('Съставки'!$M$2:$M$34,MATCH($B58,'Съставки'!$A$2:$A$34,0)))</f>
        <v/>
      </c>
      <c r="P58">
        <f>IF($B58="",0,INDEX('Съставки'!$N$2:$N$34,MATCH($B58,'Съставки'!$A$2:$A$34,0)))</f>
        <v/>
      </c>
      <c r="Q58">
        <f>IF($B58="",0,INDEX('Съставки'!$O$2:$O$34,MATCH($B58,'Съставки'!$A$2:$A$34,0)))</f>
        <v/>
      </c>
      <c r="R58">
        <f>IF($B58="",0,INDEX('Съставки'!$P$2:$P$34,MATCH($B58,'Съставки'!$A$2:$A$34,0)))</f>
        <v/>
      </c>
      <c r="S58">
        <f>IF($B58="",0,INDEX('Съставки'!$Q$2:$Q$34,MATCH($B58,'Съставки'!$A$2:$A$34,0)))</f>
        <v/>
      </c>
      <c r="T58">
        <f>IF($B58="",0,INDEX('Съставки'!$R$2:$R$34,MATCH($B58,'Съставки'!$A$2:$A$34,0)))</f>
        <v/>
      </c>
    </row>
    <row r="59">
      <c r="A59" s="17" t="inlineStr">
        <is>
          <t>Мантъ</t>
        </is>
      </c>
      <c r="B59" s="5" t="inlineStr">
        <is>
          <t>Яйца</t>
        </is>
      </c>
      <c r="C59" s="18" t="n">
        <v>2</v>
      </c>
      <c r="D59" s="19">
        <f>IF($B59="","",INDEX('Съставки'!$B$2:$B$34,MATCH($B59,'Съставки'!$A$2:$A$34,0)))</f>
        <v/>
      </c>
      <c r="E59" s="20">
        <f>IF($B59="","",INDEX('Съставки'!$C$2:$C$34,MATCH($B59,'Съставки'!$A$2:$A$34,0)))</f>
        <v/>
      </c>
      <c r="F59" s="20">
        <f>IF($B59="","",$C59*$E59)</f>
        <v/>
      </c>
      <c r="G59">
        <f>IF($B59="",0,INDEX('Съставки'!$E$2:$E$34,MATCH($B59,'Съставки'!$A$2:$A$34,0)))</f>
        <v/>
      </c>
      <c r="H59">
        <f>IF($B59="",0,INDEX('Съставки'!$F$2:$F$34,MATCH($B59,'Съставки'!$A$2:$A$34,0)))</f>
        <v/>
      </c>
      <c r="I59">
        <f>IF($B59="",0,INDEX('Съставки'!$G$2:$G$34,MATCH($B59,'Съставки'!$A$2:$A$34,0)))</f>
        <v/>
      </c>
      <c r="J59">
        <f>IF($B59="",0,INDEX('Съставки'!$H$2:$H$34,MATCH($B59,'Съставки'!$A$2:$A$34,0)))</f>
        <v/>
      </c>
      <c r="K59">
        <f>IF($B59="",0,INDEX('Съставки'!$I$2:$I$34,MATCH($B59,'Съставки'!$A$2:$A$34,0)))</f>
        <v/>
      </c>
      <c r="L59">
        <f>IF($B59="",0,INDEX('Съставки'!$J$2:$J$34,MATCH($B59,'Съставки'!$A$2:$A$34,0)))</f>
        <v/>
      </c>
      <c r="M59">
        <f>IF($B59="",0,INDEX('Съставки'!$K$2:$K$34,MATCH($B59,'Съставки'!$A$2:$A$34,0)))</f>
        <v/>
      </c>
      <c r="N59">
        <f>IF($B59="",0,INDEX('Съставки'!$L$2:$L$34,MATCH($B59,'Съставки'!$A$2:$A$34,0)))</f>
        <v/>
      </c>
      <c r="O59">
        <f>IF($B59="",0,INDEX('Съставки'!$M$2:$M$34,MATCH($B59,'Съставки'!$A$2:$A$34,0)))</f>
        <v/>
      </c>
      <c r="P59">
        <f>IF($B59="",0,INDEX('Съставки'!$N$2:$N$34,MATCH($B59,'Съставки'!$A$2:$A$34,0)))</f>
        <v/>
      </c>
      <c r="Q59">
        <f>IF($B59="",0,INDEX('Съставки'!$O$2:$O$34,MATCH($B59,'Съставки'!$A$2:$A$34,0)))</f>
        <v/>
      </c>
      <c r="R59">
        <f>IF($B59="",0,INDEX('Съставки'!$P$2:$P$34,MATCH($B59,'Съставки'!$A$2:$A$34,0)))</f>
        <v/>
      </c>
      <c r="S59">
        <f>IF($B59="",0,INDEX('Съставки'!$Q$2:$Q$34,MATCH($B59,'Съставки'!$A$2:$A$34,0)))</f>
        <v/>
      </c>
      <c r="T59">
        <f>IF($B59="",0,INDEX('Съставки'!$R$2:$R$34,MATCH($B59,'Съставки'!$A$2:$A$34,0)))</f>
        <v/>
      </c>
    </row>
    <row r="60">
      <c r="A60" s="17" t="inlineStr">
        <is>
          <t>Мантъ</t>
        </is>
      </c>
      <c r="B60" s="5" t="inlineStr">
        <is>
          <t>Телешко месо кайма</t>
        </is>
      </c>
      <c r="C60" s="18" t="n">
        <v>0.3</v>
      </c>
      <c r="D60" s="19">
        <f>IF($B60="","",INDEX('Съставки'!$B$2:$B$34,MATCH($B60,'Съставки'!$A$2:$A$34,0)))</f>
        <v/>
      </c>
      <c r="E60" s="20">
        <f>IF($B60="","",INDEX('Съставки'!$C$2:$C$34,MATCH($B60,'Съставки'!$A$2:$A$34,0)))</f>
        <v/>
      </c>
      <c r="F60" s="20">
        <f>IF($B60="","",$C60*$E60)</f>
        <v/>
      </c>
      <c r="G60">
        <f>IF($B60="",0,INDEX('Съставки'!$E$2:$E$34,MATCH($B60,'Съставки'!$A$2:$A$34,0)))</f>
        <v/>
      </c>
      <c r="H60">
        <f>IF($B60="",0,INDEX('Съставки'!$F$2:$F$34,MATCH($B60,'Съставки'!$A$2:$A$34,0)))</f>
        <v/>
      </c>
      <c r="I60">
        <f>IF($B60="",0,INDEX('Съставки'!$G$2:$G$34,MATCH($B60,'Съставки'!$A$2:$A$34,0)))</f>
        <v/>
      </c>
      <c r="J60">
        <f>IF($B60="",0,INDEX('Съставки'!$H$2:$H$34,MATCH($B60,'Съставки'!$A$2:$A$34,0)))</f>
        <v/>
      </c>
      <c r="K60">
        <f>IF($B60="",0,INDEX('Съставки'!$I$2:$I$34,MATCH($B60,'Съставки'!$A$2:$A$34,0)))</f>
        <v/>
      </c>
      <c r="L60">
        <f>IF($B60="",0,INDEX('Съставки'!$J$2:$J$34,MATCH($B60,'Съставки'!$A$2:$A$34,0)))</f>
        <v/>
      </c>
      <c r="M60">
        <f>IF($B60="",0,INDEX('Съставки'!$K$2:$K$34,MATCH($B60,'Съставки'!$A$2:$A$34,0)))</f>
        <v/>
      </c>
      <c r="N60">
        <f>IF($B60="",0,INDEX('Съставки'!$L$2:$L$34,MATCH($B60,'Съставки'!$A$2:$A$34,0)))</f>
        <v/>
      </c>
      <c r="O60">
        <f>IF($B60="",0,INDEX('Съставки'!$M$2:$M$34,MATCH($B60,'Съставки'!$A$2:$A$34,0)))</f>
        <v/>
      </c>
      <c r="P60">
        <f>IF($B60="",0,INDEX('Съставки'!$N$2:$N$34,MATCH($B60,'Съставки'!$A$2:$A$34,0)))</f>
        <v/>
      </c>
      <c r="Q60">
        <f>IF($B60="",0,INDEX('Съставки'!$O$2:$O$34,MATCH($B60,'Съставки'!$A$2:$A$34,0)))</f>
        <v/>
      </c>
      <c r="R60">
        <f>IF($B60="",0,INDEX('Съставки'!$P$2:$P$34,MATCH($B60,'Съставки'!$A$2:$A$34,0)))</f>
        <v/>
      </c>
      <c r="S60">
        <f>IF($B60="",0,INDEX('Съставки'!$Q$2:$Q$34,MATCH($B60,'Съставки'!$A$2:$A$34,0)))</f>
        <v/>
      </c>
      <c r="T60">
        <f>IF($B60="",0,INDEX('Съставки'!$R$2:$R$34,MATCH($B60,'Съставки'!$A$2:$A$34,0)))</f>
        <v/>
      </c>
    </row>
    <row r="61">
      <c r="A61" s="17" t="inlineStr">
        <is>
          <t>Мантъ</t>
        </is>
      </c>
      <c r="B61" s="5" t="inlineStr">
        <is>
          <t>Червен лук</t>
        </is>
      </c>
      <c r="C61" s="18" t="n">
        <v>0.1</v>
      </c>
      <c r="D61" s="19">
        <f>IF($B61="","",INDEX('Съставки'!$B$2:$B$34,MATCH($B61,'Съставки'!$A$2:$A$34,0)))</f>
        <v/>
      </c>
      <c r="E61" s="20">
        <f>IF($B61="","",INDEX('Съставки'!$C$2:$C$34,MATCH($B61,'Съставки'!$A$2:$A$34,0)))</f>
        <v/>
      </c>
      <c r="F61" s="20">
        <f>IF($B61="","",$C61*$E61)</f>
        <v/>
      </c>
      <c r="G61">
        <f>IF($B61="",0,INDEX('Съставки'!$E$2:$E$34,MATCH($B61,'Съставки'!$A$2:$A$34,0)))</f>
        <v/>
      </c>
      <c r="H61">
        <f>IF($B61="",0,INDEX('Съставки'!$F$2:$F$34,MATCH($B61,'Съставки'!$A$2:$A$34,0)))</f>
        <v/>
      </c>
      <c r="I61">
        <f>IF($B61="",0,INDEX('Съставки'!$G$2:$G$34,MATCH($B61,'Съставки'!$A$2:$A$34,0)))</f>
        <v/>
      </c>
      <c r="J61">
        <f>IF($B61="",0,INDEX('Съставки'!$H$2:$H$34,MATCH($B61,'Съставки'!$A$2:$A$34,0)))</f>
        <v/>
      </c>
      <c r="K61">
        <f>IF($B61="",0,INDEX('Съставки'!$I$2:$I$34,MATCH($B61,'Съставки'!$A$2:$A$34,0)))</f>
        <v/>
      </c>
      <c r="L61">
        <f>IF($B61="",0,INDEX('Съставки'!$J$2:$J$34,MATCH($B61,'Съставки'!$A$2:$A$34,0)))</f>
        <v/>
      </c>
      <c r="M61">
        <f>IF($B61="",0,INDEX('Съставки'!$K$2:$K$34,MATCH($B61,'Съставки'!$A$2:$A$34,0)))</f>
        <v/>
      </c>
      <c r="N61">
        <f>IF($B61="",0,INDEX('Съставки'!$L$2:$L$34,MATCH($B61,'Съставки'!$A$2:$A$34,0)))</f>
        <v/>
      </c>
      <c r="O61">
        <f>IF($B61="",0,INDEX('Съставки'!$M$2:$M$34,MATCH($B61,'Съставки'!$A$2:$A$34,0)))</f>
        <v/>
      </c>
      <c r="P61">
        <f>IF($B61="",0,INDEX('Съставки'!$N$2:$N$34,MATCH($B61,'Съставки'!$A$2:$A$34,0)))</f>
        <v/>
      </c>
      <c r="Q61">
        <f>IF($B61="",0,INDEX('Съставки'!$O$2:$O$34,MATCH($B61,'Съставки'!$A$2:$A$34,0)))</f>
        <v/>
      </c>
      <c r="R61">
        <f>IF($B61="",0,INDEX('Съставки'!$P$2:$P$34,MATCH($B61,'Съставки'!$A$2:$A$34,0)))</f>
        <v/>
      </c>
      <c r="S61">
        <f>IF($B61="",0,INDEX('Съставки'!$Q$2:$Q$34,MATCH($B61,'Съставки'!$A$2:$A$34,0)))</f>
        <v/>
      </c>
      <c r="T61">
        <f>IF($B61="",0,INDEX('Съставки'!$R$2:$R$34,MATCH($B61,'Съставки'!$A$2:$A$34,0)))</f>
        <v/>
      </c>
    </row>
    <row r="62">
      <c r="A62" s="17" t="inlineStr">
        <is>
          <t>Мантъ</t>
        </is>
      </c>
      <c r="B62" s="5" t="inlineStr">
        <is>
          <t>Кисело мляко</t>
        </is>
      </c>
      <c r="C62" s="18" t="n">
        <v>0.25</v>
      </c>
      <c r="D62" s="19">
        <f>IF($B62="","",INDEX('Съставки'!$B$2:$B$34,MATCH($B62,'Съставки'!$A$2:$A$34,0)))</f>
        <v/>
      </c>
      <c r="E62" s="20">
        <f>IF($B62="","",INDEX('Съставки'!$C$2:$C$34,MATCH($B62,'Съставки'!$A$2:$A$34,0)))</f>
        <v/>
      </c>
      <c r="F62" s="20">
        <f>IF($B62="","",$C62*$E62)</f>
        <v/>
      </c>
      <c r="G62">
        <f>IF($B62="",0,INDEX('Съставки'!$E$2:$E$34,MATCH($B62,'Съставки'!$A$2:$A$34,0)))</f>
        <v/>
      </c>
      <c r="H62">
        <f>IF($B62="",0,INDEX('Съставки'!$F$2:$F$34,MATCH($B62,'Съставки'!$A$2:$A$34,0)))</f>
        <v/>
      </c>
      <c r="I62">
        <f>IF($B62="",0,INDEX('Съставки'!$G$2:$G$34,MATCH($B62,'Съставки'!$A$2:$A$34,0)))</f>
        <v/>
      </c>
      <c r="J62">
        <f>IF($B62="",0,INDEX('Съставки'!$H$2:$H$34,MATCH($B62,'Съставки'!$A$2:$A$34,0)))</f>
        <v/>
      </c>
      <c r="K62">
        <f>IF($B62="",0,INDEX('Съставки'!$I$2:$I$34,MATCH($B62,'Съставки'!$A$2:$A$34,0)))</f>
        <v/>
      </c>
      <c r="L62">
        <f>IF($B62="",0,INDEX('Съставки'!$J$2:$J$34,MATCH($B62,'Съставки'!$A$2:$A$34,0)))</f>
        <v/>
      </c>
      <c r="M62">
        <f>IF($B62="",0,INDEX('Съставки'!$K$2:$K$34,MATCH($B62,'Съставки'!$A$2:$A$34,0)))</f>
        <v/>
      </c>
      <c r="N62">
        <f>IF($B62="",0,INDEX('Съставки'!$L$2:$L$34,MATCH($B62,'Съставки'!$A$2:$A$34,0)))</f>
        <v/>
      </c>
      <c r="O62">
        <f>IF($B62="",0,INDEX('Съставки'!$M$2:$M$34,MATCH($B62,'Съставки'!$A$2:$A$34,0)))</f>
        <v/>
      </c>
      <c r="P62">
        <f>IF($B62="",0,INDEX('Съставки'!$N$2:$N$34,MATCH($B62,'Съставки'!$A$2:$A$34,0)))</f>
        <v/>
      </c>
      <c r="Q62">
        <f>IF($B62="",0,INDEX('Съставки'!$O$2:$O$34,MATCH($B62,'Съставки'!$A$2:$A$34,0)))</f>
        <v/>
      </c>
      <c r="R62">
        <f>IF($B62="",0,INDEX('Съставки'!$P$2:$P$34,MATCH($B62,'Съставки'!$A$2:$A$34,0)))</f>
        <v/>
      </c>
      <c r="S62">
        <f>IF($B62="",0,INDEX('Съставки'!$Q$2:$Q$34,MATCH($B62,'Съставки'!$A$2:$A$34,0)))</f>
        <v/>
      </c>
      <c r="T62">
        <f>IF($B62="",0,INDEX('Съставки'!$R$2:$R$34,MATCH($B62,'Съставки'!$A$2:$A$34,0)))</f>
        <v/>
      </c>
    </row>
    <row r="63">
      <c r="A63" s="17" t="inlineStr">
        <is>
          <t>Мантъ</t>
        </is>
      </c>
      <c r="B63" s="5" t="inlineStr">
        <is>
          <t>Чесън</t>
        </is>
      </c>
      <c r="C63" s="18" t="n">
        <v>0.015</v>
      </c>
      <c r="D63" s="19">
        <f>IF($B63="","",INDEX('Съставки'!$B$2:$B$34,MATCH($B63,'Съставки'!$A$2:$A$34,0)))</f>
        <v/>
      </c>
      <c r="E63" s="20">
        <f>IF($B63="","",INDEX('Съставки'!$C$2:$C$34,MATCH($B63,'Съставки'!$A$2:$A$34,0)))</f>
        <v/>
      </c>
      <c r="F63" s="20">
        <f>IF($B63="","",$C63*$E63)</f>
        <v/>
      </c>
      <c r="G63">
        <f>IF($B63="",0,INDEX('Съставки'!$E$2:$E$34,MATCH($B63,'Съставки'!$A$2:$A$34,0)))</f>
        <v/>
      </c>
      <c r="H63">
        <f>IF($B63="",0,INDEX('Съставки'!$F$2:$F$34,MATCH($B63,'Съставки'!$A$2:$A$34,0)))</f>
        <v/>
      </c>
      <c r="I63">
        <f>IF($B63="",0,INDEX('Съставки'!$G$2:$G$34,MATCH($B63,'Съставки'!$A$2:$A$34,0)))</f>
        <v/>
      </c>
      <c r="J63">
        <f>IF($B63="",0,INDEX('Съставки'!$H$2:$H$34,MATCH($B63,'Съставки'!$A$2:$A$34,0)))</f>
        <v/>
      </c>
      <c r="K63">
        <f>IF($B63="",0,INDEX('Съставки'!$I$2:$I$34,MATCH($B63,'Съставки'!$A$2:$A$34,0)))</f>
        <v/>
      </c>
      <c r="L63">
        <f>IF($B63="",0,INDEX('Съставки'!$J$2:$J$34,MATCH($B63,'Съставки'!$A$2:$A$34,0)))</f>
        <v/>
      </c>
      <c r="M63">
        <f>IF($B63="",0,INDEX('Съставки'!$K$2:$K$34,MATCH($B63,'Съставки'!$A$2:$A$34,0)))</f>
        <v/>
      </c>
      <c r="N63">
        <f>IF($B63="",0,INDEX('Съставки'!$L$2:$L$34,MATCH($B63,'Съставки'!$A$2:$A$34,0)))</f>
        <v/>
      </c>
      <c r="O63">
        <f>IF($B63="",0,INDEX('Съставки'!$M$2:$M$34,MATCH($B63,'Съставки'!$A$2:$A$34,0)))</f>
        <v/>
      </c>
      <c r="P63">
        <f>IF($B63="",0,INDEX('Съставки'!$N$2:$N$34,MATCH($B63,'Съставки'!$A$2:$A$34,0)))</f>
        <v/>
      </c>
      <c r="Q63">
        <f>IF($B63="",0,INDEX('Съставки'!$O$2:$O$34,MATCH($B63,'Съставки'!$A$2:$A$34,0)))</f>
        <v/>
      </c>
      <c r="R63">
        <f>IF($B63="",0,INDEX('Съставки'!$P$2:$P$34,MATCH($B63,'Съставки'!$A$2:$A$34,0)))</f>
        <v/>
      </c>
      <c r="S63">
        <f>IF($B63="",0,INDEX('Съставки'!$Q$2:$Q$34,MATCH($B63,'Съставки'!$A$2:$A$34,0)))</f>
        <v/>
      </c>
      <c r="T63">
        <f>IF($B63="",0,INDEX('Съставки'!$R$2:$R$34,MATCH($B63,'Съставки'!$A$2:$A$34,0)))</f>
        <v/>
      </c>
    </row>
    <row r="64">
      <c r="A64" s="17" t="inlineStr">
        <is>
          <t>Мантъ</t>
        </is>
      </c>
      <c r="B64" s="5" t="inlineStr">
        <is>
          <t>Масло</t>
        </is>
      </c>
      <c r="C64" s="18" t="n">
        <v>0.04</v>
      </c>
      <c r="D64" s="19">
        <f>IF($B64="","",INDEX('Съставки'!$B$2:$B$34,MATCH($B64,'Съставки'!$A$2:$A$34,0)))</f>
        <v/>
      </c>
      <c r="E64" s="20">
        <f>IF($B64="","",INDEX('Съставки'!$C$2:$C$34,MATCH($B64,'Съставки'!$A$2:$A$34,0)))</f>
        <v/>
      </c>
      <c r="F64" s="20">
        <f>IF($B64="","",$C64*$E64)</f>
        <v/>
      </c>
      <c r="G64">
        <f>IF($B64="",0,INDEX('Съставки'!$E$2:$E$34,MATCH($B64,'Съставки'!$A$2:$A$34,0)))</f>
        <v/>
      </c>
      <c r="H64">
        <f>IF($B64="",0,INDEX('Съставки'!$F$2:$F$34,MATCH($B64,'Съставки'!$A$2:$A$34,0)))</f>
        <v/>
      </c>
      <c r="I64">
        <f>IF($B64="",0,INDEX('Съставки'!$G$2:$G$34,MATCH($B64,'Съставки'!$A$2:$A$34,0)))</f>
        <v/>
      </c>
      <c r="J64">
        <f>IF($B64="",0,INDEX('Съставки'!$H$2:$H$34,MATCH($B64,'Съставки'!$A$2:$A$34,0)))</f>
        <v/>
      </c>
      <c r="K64">
        <f>IF($B64="",0,INDEX('Съставки'!$I$2:$I$34,MATCH($B64,'Съставки'!$A$2:$A$34,0)))</f>
        <v/>
      </c>
      <c r="L64">
        <f>IF($B64="",0,INDEX('Съставки'!$J$2:$J$34,MATCH($B64,'Съставки'!$A$2:$A$34,0)))</f>
        <v/>
      </c>
      <c r="M64">
        <f>IF($B64="",0,INDEX('Съставки'!$K$2:$K$34,MATCH($B64,'Съставки'!$A$2:$A$34,0)))</f>
        <v/>
      </c>
      <c r="N64">
        <f>IF($B64="",0,INDEX('Съставки'!$L$2:$L$34,MATCH($B64,'Съставки'!$A$2:$A$34,0)))</f>
        <v/>
      </c>
      <c r="O64">
        <f>IF($B64="",0,INDEX('Съставки'!$M$2:$M$34,MATCH($B64,'Съставки'!$A$2:$A$34,0)))</f>
        <v/>
      </c>
      <c r="P64">
        <f>IF($B64="",0,INDEX('Съставки'!$N$2:$N$34,MATCH($B64,'Съставки'!$A$2:$A$34,0)))</f>
        <v/>
      </c>
      <c r="Q64">
        <f>IF($B64="",0,INDEX('Съставки'!$O$2:$O$34,MATCH($B64,'Съставки'!$A$2:$A$34,0)))</f>
        <v/>
      </c>
      <c r="R64">
        <f>IF($B64="",0,INDEX('Съставки'!$P$2:$P$34,MATCH($B64,'Съставки'!$A$2:$A$34,0)))</f>
        <v/>
      </c>
      <c r="S64">
        <f>IF($B64="",0,INDEX('Съставки'!$Q$2:$Q$34,MATCH($B64,'Съставки'!$A$2:$A$34,0)))</f>
        <v/>
      </c>
      <c r="T64">
        <f>IF($B64="",0,INDEX('Съставки'!$R$2:$R$34,MATCH($B64,'Съставки'!$A$2:$A$34,0)))</f>
        <v/>
      </c>
    </row>
    <row r="65">
      <c r="A65" s="17" t="inlineStr">
        <is>
          <t>Мантъ</t>
        </is>
      </c>
      <c r="B65" s="5" t="inlineStr">
        <is>
          <t>Червен пипер (сладък)</t>
        </is>
      </c>
      <c r="C65" s="18" t="n">
        <v>0.01</v>
      </c>
      <c r="D65" s="19">
        <f>IF($B65="","",INDEX('Съставки'!$B$2:$B$34,MATCH($B65,'Съставки'!$A$2:$A$34,0)))</f>
        <v/>
      </c>
      <c r="E65" s="20">
        <f>IF($B65="","",INDEX('Съставки'!$C$2:$C$34,MATCH($B65,'Съставки'!$A$2:$A$34,0)))</f>
        <v/>
      </c>
      <c r="F65" s="20">
        <f>IF($B65="","",$C65*$E65)</f>
        <v/>
      </c>
      <c r="G65">
        <f>IF($B65="",0,INDEX('Съставки'!$E$2:$E$34,MATCH($B65,'Съставки'!$A$2:$A$34,0)))</f>
        <v/>
      </c>
      <c r="H65">
        <f>IF($B65="",0,INDEX('Съставки'!$F$2:$F$34,MATCH($B65,'Съставки'!$A$2:$A$34,0)))</f>
        <v/>
      </c>
      <c r="I65">
        <f>IF($B65="",0,INDEX('Съставки'!$G$2:$G$34,MATCH($B65,'Съставки'!$A$2:$A$34,0)))</f>
        <v/>
      </c>
      <c r="J65">
        <f>IF($B65="",0,INDEX('Съставки'!$H$2:$H$34,MATCH($B65,'Съставки'!$A$2:$A$34,0)))</f>
        <v/>
      </c>
      <c r="K65">
        <f>IF($B65="",0,INDEX('Съставки'!$I$2:$I$34,MATCH($B65,'Съставки'!$A$2:$A$34,0)))</f>
        <v/>
      </c>
      <c r="L65">
        <f>IF($B65="",0,INDEX('Съставки'!$J$2:$J$34,MATCH($B65,'Съставки'!$A$2:$A$34,0)))</f>
        <v/>
      </c>
      <c r="M65">
        <f>IF($B65="",0,INDEX('Съставки'!$K$2:$K$34,MATCH($B65,'Съставки'!$A$2:$A$34,0)))</f>
        <v/>
      </c>
      <c r="N65">
        <f>IF($B65="",0,INDEX('Съставки'!$L$2:$L$34,MATCH($B65,'Съставки'!$A$2:$A$34,0)))</f>
        <v/>
      </c>
      <c r="O65">
        <f>IF($B65="",0,INDEX('Съставки'!$M$2:$M$34,MATCH($B65,'Съставки'!$A$2:$A$34,0)))</f>
        <v/>
      </c>
      <c r="P65">
        <f>IF($B65="",0,INDEX('Съставки'!$N$2:$N$34,MATCH($B65,'Съставки'!$A$2:$A$34,0)))</f>
        <v/>
      </c>
      <c r="Q65">
        <f>IF($B65="",0,INDEX('Съставки'!$O$2:$O$34,MATCH($B65,'Съставки'!$A$2:$A$34,0)))</f>
        <v/>
      </c>
      <c r="R65">
        <f>IF($B65="",0,INDEX('Съставки'!$P$2:$P$34,MATCH($B65,'Съставки'!$A$2:$A$34,0)))</f>
        <v/>
      </c>
      <c r="S65">
        <f>IF($B65="",0,INDEX('Съставки'!$Q$2:$Q$34,MATCH($B65,'Съставки'!$A$2:$A$34,0)))</f>
        <v/>
      </c>
      <c r="T65">
        <f>IF($B65="",0,INDEX('Съставки'!$R$2:$R$34,MATCH($B65,'Съставки'!$A$2:$A$34,0)))</f>
        <v/>
      </c>
    </row>
    <row r="66">
      <c r="A66" s="21" t="inlineStr">
        <is>
          <t>ОБЩА СЕБЕСТОЙНОСТ:</t>
        </is>
      </c>
      <c r="F66" s="22">
        <f>SUM(F58:F65)</f>
        <v/>
      </c>
    </row>
    <row r="68" ht="20" customHeight="1">
      <c r="A68" s="10" t="inlineStr">
        <is>
          <t>Баклава  /  Baklava</t>
        </is>
      </c>
    </row>
    <row r="69">
      <c r="A69" s="11" t="inlineStr">
        <is>
          <t>Категория:</t>
        </is>
      </c>
      <c r="B69" s="12" t="inlineStr">
        <is>
          <t>Десерти</t>
        </is>
      </c>
      <c r="C69" s="11" t="inlineStr">
        <is>
          <t>Порции:</t>
        </is>
      </c>
      <c r="D69" s="13">
        <f>INDEX('Рецепти'!$E:$E,7)</f>
        <v/>
      </c>
      <c r="E69" s="11" t="inlineStr">
        <is>
          <t>Себестойност/порция:</t>
        </is>
      </c>
      <c r="F69" s="14">
        <f>INDEX('Рецепти'!$G:$G,7)</f>
        <v/>
      </c>
    </row>
    <row r="70" ht="30" customHeight="1">
      <c r="A70" s="15" t="inlineStr">
        <is>
          <t>Приготвяне: Наредете листа фило тесто, промазвайки с масло, редувайки с орехова плънка. Изпечете до златисто и залейте с топъл сироп.</t>
        </is>
      </c>
    </row>
    <row r="71">
      <c r="A71" s="16" t="inlineStr">
        <is>
          <t>Ястие (за справка)</t>
        </is>
      </c>
      <c r="B71" s="16" t="inlineStr">
        <is>
          <t>Съставка</t>
        </is>
      </c>
      <c r="C71" s="16" t="inlineStr">
        <is>
          <t>Количество</t>
        </is>
      </c>
      <c r="D71" s="16" t="inlineStr">
        <is>
          <t>Мярка</t>
        </is>
      </c>
      <c r="E71" s="16" t="inlineStr">
        <is>
          <t>Цена/ед. (лв)</t>
        </is>
      </c>
      <c r="F71" s="16" t="inlineStr">
        <is>
          <t>Стойност (лв)</t>
        </is>
      </c>
    </row>
    <row r="72">
      <c r="A72" s="17" t="inlineStr">
        <is>
          <t>Баклава</t>
        </is>
      </c>
      <c r="B72" s="5" t="inlineStr">
        <is>
          <t>Фило тесто</t>
        </is>
      </c>
      <c r="C72" s="18" t="n">
        <v>0.4</v>
      </c>
      <c r="D72" s="19">
        <f>IF($B72="","",INDEX('Съставки'!$B$2:$B$34,MATCH($B72,'Съставки'!$A$2:$A$34,0)))</f>
        <v/>
      </c>
      <c r="E72" s="20">
        <f>IF($B72="","",INDEX('Съставки'!$C$2:$C$34,MATCH($B72,'Съставки'!$A$2:$A$34,0)))</f>
        <v/>
      </c>
      <c r="F72" s="20">
        <f>IF($B72="","",$C72*$E72)</f>
        <v/>
      </c>
      <c r="G72">
        <f>IF($B72="",0,INDEX('Съставки'!$E$2:$E$34,MATCH($B72,'Съставки'!$A$2:$A$34,0)))</f>
        <v/>
      </c>
      <c r="H72">
        <f>IF($B72="",0,INDEX('Съставки'!$F$2:$F$34,MATCH($B72,'Съставки'!$A$2:$A$34,0)))</f>
        <v/>
      </c>
      <c r="I72">
        <f>IF($B72="",0,INDEX('Съставки'!$G$2:$G$34,MATCH($B72,'Съставки'!$A$2:$A$34,0)))</f>
        <v/>
      </c>
      <c r="J72">
        <f>IF($B72="",0,INDEX('Съставки'!$H$2:$H$34,MATCH($B72,'Съставки'!$A$2:$A$34,0)))</f>
        <v/>
      </c>
      <c r="K72">
        <f>IF($B72="",0,INDEX('Съставки'!$I$2:$I$34,MATCH($B72,'Съставки'!$A$2:$A$34,0)))</f>
        <v/>
      </c>
      <c r="L72">
        <f>IF($B72="",0,INDEX('Съставки'!$J$2:$J$34,MATCH($B72,'Съставки'!$A$2:$A$34,0)))</f>
        <v/>
      </c>
      <c r="M72">
        <f>IF($B72="",0,INDEX('Съставки'!$K$2:$K$34,MATCH($B72,'Съставки'!$A$2:$A$34,0)))</f>
        <v/>
      </c>
      <c r="N72">
        <f>IF($B72="",0,INDEX('Съставки'!$L$2:$L$34,MATCH($B72,'Съставки'!$A$2:$A$34,0)))</f>
        <v/>
      </c>
      <c r="O72">
        <f>IF($B72="",0,INDEX('Съставки'!$M$2:$M$34,MATCH($B72,'Съставки'!$A$2:$A$34,0)))</f>
        <v/>
      </c>
      <c r="P72">
        <f>IF($B72="",0,INDEX('Съставки'!$N$2:$N$34,MATCH($B72,'Съставки'!$A$2:$A$34,0)))</f>
        <v/>
      </c>
      <c r="Q72">
        <f>IF($B72="",0,INDEX('Съставки'!$O$2:$O$34,MATCH($B72,'Съставки'!$A$2:$A$34,0)))</f>
        <v/>
      </c>
      <c r="R72">
        <f>IF($B72="",0,INDEX('Съставки'!$P$2:$P$34,MATCH($B72,'Съставки'!$A$2:$A$34,0)))</f>
        <v/>
      </c>
      <c r="S72">
        <f>IF($B72="",0,INDEX('Съставки'!$Q$2:$Q$34,MATCH($B72,'Съставки'!$A$2:$A$34,0)))</f>
        <v/>
      </c>
      <c r="T72">
        <f>IF($B72="",0,INDEX('Съставки'!$R$2:$R$34,MATCH($B72,'Съставки'!$A$2:$A$34,0)))</f>
        <v/>
      </c>
    </row>
    <row r="73">
      <c r="A73" s="17" t="inlineStr">
        <is>
          <t>Баклава</t>
        </is>
      </c>
      <c r="B73" s="5" t="inlineStr">
        <is>
          <t>Орехи</t>
        </is>
      </c>
      <c r="C73" s="18" t="n">
        <v>0.3</v>
      </c>
      <c r="D73" s="19">
        <f>IF($B73="","",INDEX('Съставки'!$B$2:$B$34,MATCH($B73,'Съставки'!$A$2:$A$34,0)))</f>
        <v/>
      </c>
      <c r="E73" s="20">
        <f>IF($B73="","",INDEX('Съставки'!$C$2:$C$34,MATCH($B73,'Съставки'!$A$2:$A$34,0)))</f>
        <v/>
      </c>
      <c r="F73" s="20">
        <f>IF($B73="","",$C73*$E73)</f>
        <v/>
      </c>
      <c r="G73">
        <f>IF($B73="",0,INDEX('Съставки'!$E$2:$E$34,MATCH($B73,'Съставки'!$A$2:$A$34,0)))</f>
        <v/>
      </c>
      <c r="H73">
        <f>IF($B73="",0,INDEX('Съставки'!$F$2:$F$34,MATCH($B73,'Съставки'!$A$2:$A$34,0)))</f>
        <v/>
      </c>
      <c r="I73">
        <f>IF($B73="",0,INDEX('Съставки'!$G$2:$G$34,MATCH($B73,'Съставки'!$A$2:$A$34,0)))</f>
        <v/>
      </c>
      <c r="J73">
        <f>IF($B73="",0,INDEX('Съставки'!$H$2:$H$34,MATCH($B73,'Съставки'!$A$2:$A$34,0)))</f>
        <v/>
      </c>
      <c r="K73">
        <f>IF($B73="",0,INDEX('Съставки'!$I$2:$I$34,MATCH($B73,'Съставки'!$A$2:$A$34,0)))</f>
        <v/>
      </c>
      <c r="L73">
        <f>IF($B73="",0,INDEX('Съставки'!$J$2:$J$34,MATCH($B73,'Съставки'!$A$2:$A$34,0)))</f>
        <v/>
      </c>
      <c r="M73">
        <f>IF($B73="",0,INDEX('Съставки'!$K$2:$K$34,MATCH($B73,'Съставки'!$A$2:$A$34,0)))</f>
        <v/>
      </c>
      <c r="N73">
        <f>IF($B73="",0,INDEX('Съставки'!$L$2:$L$34,MATCH($B73,'Съставки'!$A$2:$A$34,0)))</f>
        <v/>
      </c>
      <c r="O73">
        <f>IF($B73="",0,INDEX('Съставки'!$M$2:$M$34,MATCH($B73,'Съставки'!$A$2:$A$34,0)))</f>
        <v/>
      </c>
      <c r="P73">
        <f>IF($B73="",0,INDEX('Съставки'!$N$2:$N$34,MATCH($B73,'Съставки'!$A$2:$A$34,0)))</f>
        <v/>
      </c>
      <c r="Q73">
        <f>IF($B73="",0,INDEX('Съставки'!$O$2:$O$34,MATCH($B73,'Съставки'!$A$2:$A$34,0)))</f>
        <v/>
      </c>
      <c r="R73">
        <f>IF($B73="",0,INDEX('Съставки'!$P$2:$P$34,MATCH($B73,'Съставки'!$A$2:$A$34,0)))</f>
        <v/>
      </c>
      <c r="S73">
        <f>IF($B73="",0,INDEX('Съставки'!$Q$2:$Q$34,MATCH($B73,'Съставки'!$A$2:$A$34,0)))</f>
        <v/>
      </c>
      <c r="T73">
        <f>IF($B73="",0,INDEX('Съставки'!$R$2:$R$34,MATCH($B73,'Съставки'!$A$2:$A$34,0)))</f>
        <v/>
      </c>
    </row>
    <row r="74">
      <c r="A74" s="17" t="inlineStr">
        <is>
          <t>Баклава</t>
        </is>
      </c>
      <c r="B74" s="5" t="inlineStr">
        <is>
          <t>Масло</t>
        </is>
      </c>
      <c r="C74" s="18" t="n">
        <v>0.25</v>
      </c>
      <c r="D74" s="19">
        <f>IF($B74="","",INDEX('Съставки'!$B$2:$B$34,MATCH($B74,'Съставки'!$A$2:$A$34,0)))</f>
        <v/>
      </c>
      <c r="E74" s="20">
        <f>IF($B74="","",INDEX('Съставки'!$C$2:$C$34,MATCH($B74,'Съставки'!$A$2:$A$34,0)))</f>
        <v/>
      </c>
      <c r="F74" s="20">
        <f>IF($B74="","",$C74*$E74)</f>
        <v/>
      </c>
      <c r="G74">
        <f>IF($B74="",0,INDEX('Съставки'!$E$2:$E$34,MATCH($B74,'Съставки'!$A$2:$A$34,0)))</f>
        <v/>
      </c>
      <c r="H74">
        <f>IF($B74="",0,INDEX('Съставки'!$F$2:$F$34,MATCH($B74,'Съставки'!$A$2:$A$34,0)))</f>
        <v/>
      </c>
      <c r="I74">
        <f>IF($B74="",0,INDEX('Съставки'!$G$2:$G$34,MATCH($B74,'Съставки'!$A$2:$A$34,0)))</f>
        <v/>
      </c>
      <c r="J74">
        <f>IF($B74="",0,INDEX('Съставки'!$H$2:$H$34,MATCH($B74,'Съставки'!$A$2:$A$34,0)))</f>
        <v/>
      </c>
      <c r="K74">
        <f>IF($B74="",0,INDEX('Съставки'!$I$2:$I$34,MATCH($B74,'Съставки'!$A$2:$A$34,0)))</f>
        <v/>
      </c>
      <c r="L74">
        <f>IF($B74="",0,INDEX('Съставки'!$J$2:$J$34,MATCH($B74,'Съставки'!$A$2:$A$34,0)))</f>
        <v/>
      </c>
      <c r="M74">
        <f>IF($B74="",0,INDEX('Съставки'!$K$2:$K$34,MATCH($B74,'Съставки'!$A$2:$A$34,0)))</f>
        <v/>
      </c>
      <c r="N74">
        <f>IF($B74="",0,INDEX('Съставки'!$L$2:$L$34,MATCH($B74,'Съставки'!$A$2:$A$34,0)))</f>
        <v/>
      </c>
      <c r="O74">
        <f>IF($B74="",0,INDEX('Съставки'!$M$2:$M$34,MATCH($B74,'Съставки'!$A$2:$A$34,0)))</f>
        <v/>
      </c>
      <c r="P74">
        <f>IF($B74="",0,INDEX('Съставки'!$N$2:$N$34,MATCH($B74,'Съставки'!$A$2:$A$34,0)))</f>
        <v/>
      </c>
      <c r="Q74">
        <f>IF($B74="",0,INDEX('Съставки'!$O$2:$O$34,MATCH($B74,'Съставки'!$A$2:$A$34,0)))</f>
        <v/>
      </c>
      <c r="R74">
        <f>IF($B74="",0,INDEX('Съставки'!$P$2:$P$34,MATCH($B74,'Съставки'!$A$2:$A$34,0)))</f>
        <v/>
      </c>
      <c r="S74">
        <f>IF($B74="",0,INDEX('Съставки'!$Q$2:$Q$34,MATCH($B74,'Съставки'!$A$2:$A$34,0)))</f>
        <v/>
      </c>
      <c r="T74">
        <f>IF($B74="",0,INDEX('Съставки'!$R$2:$R$34,MATCH($B74,'Съставки'!$A$2:$A$34,0)))</f>
        <v/>
      </c>
    </row>
    <row r="75">
      <c r="A75" s="17" t="inlineStr">
        <is>
          <t>Баклава</t>
        </is>
      </c>
      <c r="B75" s="5" t="inlineStr">
        <is>
          <t>Захар</t>
        </is>
      </c>
      <c r="C75" s="18" t="n">
        <v>0.4</v>
      </c>
      <c r="D75" s="19">
        <f>IF($B75="","",INDEX('Съставки'!$B$2:$B$34,MATCH($B75,'Съставки'!$A$2:$A$34,0)))</f>
        <v/>
      </c>
      <c r="E75" s="20">
        <f>IF($B75="","",INDEX('Съставки'!$C$2:$C$34,MATCH($B75,'Съставки'!$A$2:$A$34,0)))</f>
        <v/>
      </c>
      <c r="F75" s="20">
        <f>IF($B75="","",$C75*$E75)</f>
        <v/>
      </c>
      <c r="G75">
        <f>IF($B75="",0,INDEX('Съставки'!$E$2:$E$34,MATCH($B75,'Съставки'!$A$2:$A$34,0)))</f>
        <v/>
      </c>
      <c r="H75">
        <f>IF($B75="",0,INDEX('Съставки'!$F$2:$F$34,MATCH($B75,'Съставки'!$A$2:$A$34,0)))</f>
        <v/>
      </c>
      <c r="I75">
        <f>IF($B75="",0,INDEX('Съставки'!$G$2:$G$34,MATCH($B75,'Съставки'!$A$2:$A$34,0)))</f>
        <v/>
      </c>
      <c r="J75">
        <f>IF($B75="",0,INDEX('Съставки'!$H$2:$H$34,MATCH($B75,'Съставки'!$A$2:$A$34,0)))</f>
        <v/>
      </c>
      <c r="K75">
        <f>IF($B75="",0,INDEX('Съставки'!$I$2:$I$34,MATCH($B75,'Съставки'!$A$2:$A$34,0)))</f>
        <v/>
      </c>
      <c r="L75">
        <f>IF($B75="",0,INDEX('Съставки'!$J$2:$J$34,MATCH($B75,'Съставки'!$A$2:$A$34,0)))</f>
        <v/>
      </c>
      <c r="M75">
        <f>IF($B75="",0,INDEX('Съставки'!$K$2:$K$34,MATCH($B75,'Съставки'!$A$2:$A$34,0)))</f>
        <v/>
      </c>
      <c r="N75">
        <f>IF($B75="",0,INDEX('Съставки'!$L$2:$L$34,MATCH($B75,'Съставки'!$A$2:$A$34,0)))</f>
        <v/>
      </c>
      <c r="O75">
        <f>IF($B75="",0,INDEX('Съставки'!$M$2:$M$34,MATCH($B75,'Съставки'!$A$2:$A$34,0)))</f>
        <v/>
      </c>
      <c r="P75">
        <f>IF($B75="",0,INDEX('Съставки'!$N$2:$N$34,MATCH($B75,'Съставки'!$A$2:$A$34,0)))</f>
        <v/>
      </c>
      <c r="Q75">
        <f>IF($B75="",0,INDEX('Съставки'!$O$2:$O$34,MATCH($B75,'Съставки'!$A$2:$A$34,0)))</f>
        <v/>
      </c>
      <c r="R75">
        <f>IF($B75="",0,INDEX('Съставки'!$P$2:$P$34,MATCH($B75,'Съставки'!$A$2:$A$34,0)))</f>
        <v/>
      </c>
      <c r="S75">
        <f>IF($B75="",0,INDEX('Съставки'!$Q$2:$Q$34,MATCH($B75,'Съставки'!$A$2:$A$34,0)))</f>
        <v/>
      </c>
      <c r="T75">
        <f>IF($B75="",0,INDEX('Съставки'!$R$2:$R$34,MATCH($B75,'Съставки'!$A$2:$A$34,0)))</f>
        <v/>
      </c>
    </row>
    <row r="76">
      <c r="A76" s="17" t="inlineStr">
        <is>
          <t>Баклава</t>
        </is>
      </c>
      <c r="B76" s="5" t="inlineStr">
        <is>
          <t>Мед/сироп</t>
        </is>
      </c>
      <c r="C76" s="18" t="n">
        <v>0.2</v>
      </c>
      <c r="D76" s="19">
        <f>IF($B76="","",INDEX('Съставки'!$B$2:$B$34,MATCH($B76,'Съставки'!$A$2:$A$34,0)))</f>
        <v/>
      </c>
      <c r="E76" s="20">
        <f>IF($B76="","",INDEX('Съставки'!$C$2:$C$34,MATCH($B76,'Съставки'!$A$2:$A$34,0)))</f>
        <v/>
      </c>
      <c r="F76" s="20">
        <f>IF($B76="","",$C76*$E76)</f>
        <v/>
      </c>
      <c r="G76">
        <f>IF($B76="",0,INDEX('Съставки'!$E$2:$E$34,MATCH($B76,'Съставки'!$A$2:$A$34,0)))</f>
        <v/>
      </c>
      <c r="H76">
        <f>IF($B76="",0,INDEX('Съставки'!$F$2:$F$34,MATCH($B76,'Съставки'!$A$2:$A$34,0)))</f>
        <v/>
      </c>
      <c r="I76">
        <f>IF($B76="",0,INDEX('Съставки'!$G$2:$G$34,MATCH($B76,'Съставки'!$A$2:$A$34,0)))</f>
        <v/>
      </c>
      <c r="J76">
        <f>IF($B76="",0,INDEX('Съставки'!$H$2:$H$34,MATCH($B76,'Съставки'!$A$2:$A$34,0)))</f>
        <v/>
      </c>
      <c r="K76">
        <f>IF($B76="",0,INDEX('Съставки'!$I$2:$I$34,MATCH($B76,'Съставки'!$A$2:$A$34,0)))</f>
        <v/>
      </c>
      <c r="L76">
        <f>IF($B76="",0,INDEX('Съставки'!$J$2:$J$34,MATCH($B76,'Съставки'!$A$2:$A$34,0)))</f>
        <v/>
      </c>
      <c r="M76">
        <f>IF($B76="",0,INDEX('Съставки'!$K$2:$K$34,MATCH($B76,'Съставки'!$A$2:$A$34,0)))</f>
        <v/>
      </c>
      <c r="N76">
        <f>IF($B76="",0,INDEX('Съставки'!$L$2:$L$34,MATCH($B76,'Съставки'!$A$2:$A$34,0)))</f>
        <v/>
      </c>
      <c r="O76">
        <f>IF($B76="",0,INDEX('Съставки'!$M$2:$M$34,MATCH($B76,'Съставки'!$A$2:$A$34,0)))</f>
        <v/>
      </c>
      <c r="P76">
        <f>IF($B76="",0,INDEX('Съставки'!$N$2:$N$34,MATCH($B76,'Съставки'!$A$2:$A$34,0)))</f>
        <v/>
      </c>
      <c r="Q76">
        <f>IF($B76="",0,INDEX('Съставки'!$O$2:$O$34,MATCH($B76,'Съставки'!$A$2:$A$34,0)))</f>
        <v/>
      </c>
      <c r="R76">
        <f>IF($B76="",0,INDEX('Съставки'!$P$2:$P$34,MATCH($B76,'Съставки'!$A$2:$A$34,0)))</f>
        <v/>
      </c>
      <c r="S76">
        <f>IF($B76="",0,INDEX('Съставки'!$Q$2:$Q$34,MATCH($B76,'Съставки'!$A$2:$A$34,0)))</f>
        <v/>
      </c>
      <c r="T76">
        <f>IF($B76="",0,INDEX('Съставки'!$R$2:$R$34,MATCH($B76,'Съставки'!$A$2:$A$34,0)))</f>
        <v/>
      </c>
    </row>
    <row r="77">
      <c r="A77" s="17" t="inlineStr">
        <is>
          <t>Баклава</t>
        </is>
      </c>
      <c r="B77" s="5" t="inlineStr">
        <is>
          <t>Лимон</t>
        </is>
      </c>
      <c r="C77" s="18" t="n">
        <v>0.02</v>
      </c>
      <c r="D77" s="19">
        <f>IF($B77="","",INDEX('Съставки'!$B$2:$B$34,MATCH($B77,'Съставки'!$A$2:$A$34,0)))</f>
        <v/>
      </c>
      <c r="E77" s="20">
        <f>IF($B77="","",INDEX('Съставки'!$C$2:$C$34,MATCH($B77,'Съставки'!$A$2:$A$34,0)))</f>
        <v/>
      </c>
      <c r="F77" s="20">
        <f>IF($B77="","",$C77*$E77)</f>
        <v/>
      </c>
      <c r="G77">
        <f>IF($B77="",0,INDEX('Съставки'!$E$2:$E$34,MATCH($B77,'Съставки'!$A$2:$A$34,0)))</f>
        <v/>
      </c>
      <c r="H77">
        <f>IF($B77="",0,INDEX('Съставки'!$F$2:$F$34,MATCH($B77,'Съставки'!$A$2:$A$34,0)))</f>
        <v/>
      </c>
      <c r="I77">
        <f>IF($B77="",0,INDEX('Съставки'!$G$2:$G$34,MATCH($B77,'Съставки'!$A$2:$A$34,0)))</f>
        <v/>
      </c>
      <c r="J77">
        <f>IF($B77="",0,INDEX('Съставки'!$H$2:$H$34,MATCH($B77,'Съставки'!$A$2:$A$34,0)))</f>
        <v/>
      </c>
      <c r="K77">
        <f>IF($B77="",0,INDEX('Съставки'!$I$2:$I$34,MATCH($B77,'Съставки'!$A$2:$A$34,0)))</f>
        <v/>
      </c>
      <c r="L77">
        <f>IF($B77="",0,INDEX('Съставки'!$J$2:$J$34,MATCH($B77,'Съставки'!$A$2:$A$34,0)))</f>
        <v/>
      </c>
      <c r="M77">
        <f>IF($B77="",0,INDEX('Съставки'!$K$2:$K$34,MATCH($B77,'Съставки'!$A$2:$A$34,0)))</f>
        <v/>
      </c>
      <c r="N77">
        <f>IF($B77="",0,INDEX('Съставки'!$L$2:$L$34,MATCH($B77,'Съставки'!$A$2:$A$34,0)))</f>
        <v/>
      </c>
      <c r="O77">
        <f>IF($B77="",0,INDEX('Съставки'!$M$2:$M$34,MATCH($B77,'Съставки'!$A$2:$A$34,0)))</f>
        <v/>
      </c>
      <c r="P77">
        <f>IF($B77="",0,INDEX('Съставки'!$N$2:$N$34,MATCH($B77,'Съставки'!$A$2:$A$34,0)))</f>
        <v/>
      </c>
      <c r="Q77">
        <f>IF($B77="",0,INDEX('Съставки'!$O$2:$O$34,MATCH($B77,'Съставки'!$A$2:$A$34,0)))</f>
        <v/>
      </c>
      <c r="R77">
        <f>IF($B77="",0,INDEX('Съставки'!$P$2:$P$34,MATCH($B77,'Съставки'!$A$2:$A$34,0)))</f>
        <v/>
      </c>
      <c r="S77">
        <f>IF($B77="",0,INDEX('Съставки'!$Q$2:$Q$34,MATCH($B77,'Съставки'!$A$2:$A$34,0)))</f>
        <v/>
      </c>
      <c r="T77">
        <f>IF($B77="",0,INDEX('Съставки'!$R$2:$R$34,MATCH($B77,'Съставки'!$A$2:$A$34,0)))</f>
        <v/>
      </c>
    </row>
    <row r="78">
      <c r="A78" s="21" t="inlineStr">
        <is>
          <t>ОБЩА СЕБЕСТОЙНОСТ:</t>
        </is>
      </c>
      <c r="F78" s="22">
        <f>SUM(F72:F77)</f>
        <v/>
      </c>
    </row>
    <row r="80" ht="20" customHeight="1">
      <c r="A80" s="10" t="inlineStr">
        <is>
          <t>Кюнефе  /  Künefe</t>
        </is>
      </c>
    </row>
    <row r="81">
      <c r="A81" s="11" t="inlineStr">
        <is>
          <t>Категория:</t>
        </is>
      </c>
      <c r="B81" s="12" t="inlineStr">
        <is>
          <t>Десерти</t>
        </is>
      </c>
      <c r="C81" s="11" t="inlineStr">
        <is>
          <t>Порции:</t>
        </is>
      </c>
      <c r="D81" s="13">
        <f>INDEX('Рецепти'!$E:$E,8)</f>
        <v/>
      </c>
      <c r="E81" s="11" t="inlineStr">
        <is>
          <t>Себестойност/порция:</t>
        </is>
      </c>
      <c r="F81" s="14">
        <f>INDEX('Рецепти'!$G:$G,8)</f>
        <v/>
      </c>
    </row>
    <row r="82" ht="30" customHeight="1">
      <c r="A82" s="15" t="inlineStr">
        <is>
          <t>Приготвяне: Наредете половината кадаиф в тава с масло, покрийте с кашкавал, отгоре останалия кадаиф. Изпечете и залейте с горещ сироп веднага след печене.</t>
        </is>
      </c>
    </row>
    <row r="83">
      <c r="A83" s="16" t="inlineStr">
        <is>
          <t>Ястие (за справка)</t>
        </is>
      </c>
      <c r="B83" s="16" t="inlineStr">
        <is>
          <t>Съставка</t>
        </is>
      </c>
      <c r="C83" s="16" t="inlineStr">
        <is>
          <t>Количество</t>
        </is>
      </c>
      <c r="D83" s="16" t="inlineStr">
        <is>
          <t>Мярка</t>
        </is>
      </c>
      <c r="E83" s="16" t="inlineStr">
        <is>
          <t>Цена/ед. (лв)</t>
        </is>
      </c>
      <c r="F83" s="16" t="inlineStr">
        <is>
          <t>Стойност (лв)</t>
        </is>
      </c>
    </row>
    <row r="84">
      <c r="A84" s="17" t="inlineStr">
        <is>
          <t>Кюнефе</t>
        </is>
      </c>
      <c r="B84" s="5" t="inlineStr">
        <is>
          <t>Фило тесто</t>
        </is>
      </c>
      <c r="C84" s="18" t="n">
        <v>0.35</v>
      </c>
      <c r="D84" s="19">
        <f>IF($B84="","",INDEX('Съставки'!$B$2:$B$34,MATCH($B84,'Съставки'!$A$2:$A$34,0)))</f>
        <v/>
      </c>
      <c r="E84" s="20">
        <f>IF($B84="","",INDEX('Съставки'!$C$2:$C$34,MATCH($B84,'Съставки'!$A$2:$A$34,0)))</f>
        <v/>
      </c>
      <c r="F84" s="20">
        <f>IF($B84="","",$C84*$E84)</f>
        <v/>
      </c>
      <c r="G84">
        <f>IF($B84="",0,INDEX('Съставки'!$E$2:$E$34,MATCH($B84,'Съставки'!$A$2:$A$34,0)))</f>
        <v/>
      </c>
      <c r="H84">
        <f>IF($B84="",0,INDEX('Съставки'!$F$2:$F$34,MATCH($B84,'Съставки'!$A$2:$A$34,0)))</f>
        <v/>
      </c>
      <c r="I84">
        <f>IF($B84="",0,INDEX('Съставки'!$G$2:$G$34,MATCH($B84,'Съставки'!$A$2:$A$34,0)))</f>
        <v/>
      </c>
      <c r="J84">
        <f>IF($B84="",0,INDEX('Съставки'!$H$2:$H$34,MATCH($B84,'Съставки'!$A$2:$A$34,0)))</f>
        <v/>
      </c>
      <c r="K84">
        <f>IF($B84="",0,INDEX('Съставки'!$I$2:$I$34,MATCH($B84,'Съставки'!$A$2:$A$34,0)))</f>
        <v/>
      </c>
      <c r="L84">
        <f>IF($B84="",0,INDEX('Съставки'!$J$2:$J$34,MATCH($B84,'Съставки'!$A$2:$A$34,0)))</f>
        <v/>
      </c>
      <c r="M84">
        <f>IF($B84="",0,INDEX('Съставки'!$K$2:$K$34,MATCH($B84,'Съставки'!$A$2:$A$34,0)))</f>
        <v/>
      </c>
      <c r="N84">
        <f>IF($B84="",0,INDEX('Съставки'!$L$2:$L$34,MATCH($B84,'Съставки'!$A$2:$A$34,0)))</f>
        <v/>
      </c>
      <c r="O84">
        <f>IF($B84="",0,INDEX('Съставки'!$M$2:$M$34,MATCH($B84,'Съставки'!$A$2:$A$34,0)))</f>
        <v/>
      </c>
      <c r="P84">
        <f>IF($B84="",0,INDEX('Съставки'!$N$2:$N$34,MATCH($B84,'Съставки'!$A$2:$A$34,0)))</f>
        <v/>
      </c>
      <c r="Q84">
        <f>IF($B84="",0,INDEX('Съставки'!$O$2:$O$34,MATCH($B84,'Съставки'!$A$2:$A$34,0)))</f>
        <v/>
      </c>
      <c r="R84">
        <f>IF($B84="",0,INDEX('Съставки'!$P$2:$P$34,MATCH($B84,'Съставки'!$A$2:$A$34,0)))</f>
        <v/>
      </c>
      <c r="S84">
        <f>IF($B84="",0,INDEX('Съставки'!$Q$2:$Q$34,MATCH($B84,'Съставки'!$A$2:$A$34,0)))</f>
        <v/>
      </c>
      <c r="T84">
        <f>IF($B84="",0,INDEX('Съставки'!$R$2:$R$34,MATCH($B84,'Съставки'!$A$2:$A$34,0)))</f>
        <v/>
      </c>
    </row>
    <row r="85">
      <c r="A85" s="17" t="inlineStr">
        <is>
          <t>Кюнефе</t>
        </is>
      </c>
      <c r="B85" s="5" t="inlineStr">
        <is>
          <t>Сирене кашкавал</t>
        </is>
      </c>
      <c r="C85" s="18" t="n">
        <v>0.3</v>
      </c>
      <c r="D85" s="19">
        <f>IF($B85="","",INDEX('Съставки'!$B$2:$B$34,MATCH($B85,'Съставки'!$A$2:$A$34,0)))</f>
        <v/>
      </c>
      <c r="E85" s="20">
        <f>IF($B85="","",INDEX('Съставки'!$C$2:$C$34,MATCH($B85,'Съставки'!$A$2:$A$34,0)))</f>
        <v/>
      </c>
      <c r="F85" s="20">
        <f>IF($B85="","",$C85*$E85)</f>
        <v/>
      </c>
      <c r="G85">
        <f>IF($B85="",0,INDEX('Съставки'!$E$2:$E$34,MATCH($B85,'Съставки'!$A$2:$A$34,0)))</f>
        <v/>
      </c>
      <c r="H85">
        <f>IF($B85="",0,INDEX('Съставки'!$F$2:$F$34,MATCH($B85,'Съставки'!$A$2:$A$34,0)))</f>
        <v/>
      </c>
      <c r="I85">
        <f>IF($B85="",0,INDEX('Съставки'!$G$2:$G$34,MATCH($B85,'Съставки'!$A$2:$A$34,0)))</f>
        <v/>
      </c>
      <c r="J85">
        <f>IF($B85="",0,INDEX('Съставки'!$H$2:$H$34,MATCH($B85,'Съставки'!$A$2:$A$34,0)))</f>
        <v/>
      </c>
      <c r="K85">
        <f>IF($B85="",0,INDEX('Съставки'!$I$2:$I$34,MATCH($B85,'Съставки'!$A$2:$A$34,0)))</f>
        <v/>
      </c>
      <c r="L85">
        <f>IF($B85="",0,INDEX('Съставки'!$J$2:$J$34,MATCH($B85,'Съставки'!$A$2:$A$34,0)))</f>
        <v/>
      </c>
      <c r="M85">
        <f>IF($B85="",0,INDEX('Съставки'!$K$2:$K$34,MATCH($B85,'Съставки'!$A$2:$A$34,0)))</f>
        <v/>
      </c>
      <c r="N85">
        <f>IF($B85="",0,INDEX('Съставки'!$L$2:$L$34,MATCH($B85,'Съставки'!$A$2:$A$34,0)))</f>
        <v/>
      </c>
      <c r="O85">
        <f>IF($B85="",0,INDEX('Съставки'!$M$2:$M$34,MATCH($B85,'Съставки'!$A$2:$A$34,0)))</f>
        <v/>
      </c>
      <c r="P85">
        <f>IF($B85="",0,INDEX('Съставки'!$N$2:$N$34,MATCH($B85,'Съставки'!$A$2:$A$34,0)))</f>
        <v/>
      </c>
      <c r="Q85">
        <f>IF($B85="",0,INDEX('Съставки'!$O$2:$O$34,MATCH($B85,'Съставки'!$A$2:$A$34,0)))</f>
        <v/>
      </c>
      <c r="R85">
        <f>IF($B85="",0,INDEX('Съставки'!$P$2:$P$34,MATCH($B85,'Съставки'!$A$2:$A$34,0)))</f>
        <v/>
      </c>
      <c r="S85">
        <f>IF($B85="",0,INDEX('Съставки'!$Q$2:$Q$34,MATCH($B85,'Съставки'!$A$2:$A$34,0)))</f>
        <v/>
      </c>
      <c r="T85">
        <f>IF($B85="",0,INDEX('Съставки'!$R$2:$R$34,MATCH($B85,'Съставки'!$A$2:$A$34,0)))</f>
        <v/>
      </c>
    </row>
    <row r="86">
      <c r="A86" s="17" t="inlineStr">
        <is>
          <t>Кюнефе</t>
        </is>
      </c>
      <c r="B86" s="5" t="inlineStr">
        <is>
          <t>Масло</t>
        </is>
      </c>
      <c r="C86" s="18" t="n">
        <v>0.15</v>
      </c>
      <c r="D86" s="19">
        <f>IF($B86="","",INDEX('Съставки'!$B$2:$B$34,MATCH($B86,'Съставки'!$A$2:$A$34,0)))</f>
        <v/>
      </c>
      <c r="E86" s="20">
        <f>IF($B86="","",INDEX('Съставки'!$C$2:$C$34,MATCH($B86,'Съставки'!$A$2:$A$34,0)))</f>
        <v/>
      </c>
      <c r="F86" s="20">
        <f>IF($B86="","",$C86*$E86)</f>
        <v/>
      </c>
      <c r="G86">
        <f>IF($B86="",0,INDEX('Съставки'!$E$2:$E$34,MATCH($B86,'Съставки'!$A$2:$A$34,0)))</f>
        <v/>
      </c>
      <c r="H86">
        <f>IF($B86="",0,INDEX('Съставки'!$F$2:$F$34,MATCH($B86,'Съставки'!$A$2:$A$34,0)))</f>
        <v/>
      </c>
      <c r="I86">
        <f>IF($B86="",0,INDEX('Съставки'!$G$2:$G$34,MATCH($B86,'Съставки'!$A$2:$A$34,0)))</f>
        <v/>
      </c>
      <c r="J86">
        <f>IF($B86="",0,INDEX('Съставки'!$H$2:$H$34,MATCH($B86,'Съставки'!$A$2:$A$34,0)))</f>
        <v/>
      </c>
      <c r="K86">
        <f>IF($B86="",0,INDEX('Съставки'!$I$2:$I$34,MATCH($B86,'Съставки'!$A$2:$A$34,0)))</f>
        <v/>
      </c>
      <c r="L86">
        <f>IF($B86="",0,INDEX('Съставки'!$J$2:$J$34,MATCH($B86,'Съставки'!$A$2:$A$34,0)))</f>
        <v/>
      </c>
      <c r="M86">
        <f>IF($B86="",0,INDEX('Съставки'!$K$2:$K$34,MATCH($B86,'Съставки'!$A$2:$A$34,0)))</f>
        <v/>
      </c>
      <c r="N86">
        <f>IF($B86="",0,INDEX('Съставки'!$L$2:$L$34,MATCH($B86,'Съставки'!$A$2:$A$34,0)))</f>
        <v/>
      </c>
      <c r="O86">
        <f>IF($B86="",0,INDEX('Съставки'!$M$2:$M$34,MATCH($B86,'Съставки'!$A$2:$A$34,0)))</f>
        <v/>
      </c>
      <c r="P86">
        <f>IF($B86="",0,INDEX('Съставки'!$N$2:$N$34,MATCH($B86,'Съставки'!$A$2:$A$34,0)))</f>
        <v/>
      </c>
      <c r="Q86">
        <f>IF($B86="",0,INDEX('Съставки'!$O$2:$O$34,MATCH($B86,'Съставки'!$A$2:$A$34,0)))</f>
        <v/>
      </c>
      <c r="R86">
        <f>IF($B86="",0,INDEX('Съставки'!$P$2:$P$34,MATCH($B86,'Съставки'!$A$2:$A$34,0)))</f>
        <v/>
      </c>
      <c r="S86">
        <f>IF($B86="",0,INDEX('Съставки'!$Q$2:$Q$34,MATCH($B86,'Съставки'!$A$2:$A$34,0)))</f>
        <v/>
      </c>
      <c r="T86">
        <f>IF($B86="",0,INDEX('Съставки'!$R$2:$R$34,MATCH($B86,'Съставки'!$A$2:$A$34,0)))</f>
        <v/>
      </c>
    </row>
    <row r="87">
      <c r="A87" s="17" t="inlineStr">
        <is>
          <t>Кюнефе</t>
        </is>
      </c>
      <c r="B87" s="5" t="inlineStr">
        <is>
          <t>Захар</t>
        </is>
      </c>
      <c r="C87" s="18" t="n">
        <v>0.25</v>
      </c>
      <c r="D87" s="19">
        <f>IF($B87="","",INDEX('Съставки'!$B$2:$B$34,MATCH($B87,'Съставки'!$A$2:$A$34,0)))</f>
        <v/>
      </c>
      <c r="E87" s="20">
        <f>IF($B87="","",INDEX('Съставки'!$C$2:$C$34,MATCH($B87,'Съставки'!$A$2:$A$34,0)))</f>
        <v/>
      </c>
      <c r="F87" s="20">
        <f>IF($B87="","",$C87*$E87)</f>
        <v/>
      </c>
      <c r="G87">
        <f>IF($B87="",0,INDEX('Съставки'!$E$2:$E$34,MATCH($B87,'Съставки'!$A$2:$A$34,0)))</f>
        <v/>
      </c>
      <c r="H87">
        <f>IF($B87="",0,INDEX('Съставки'!$F$2:$F$34,MATCH($B87,'Съставки'!$A$2:$A$34,0)))</f>
        <v/>
      </c>
      <c r="I87">
        <f>IF($B87="",0,INDEX('Съставки'!$G$2:$G$34,MATCH($B87,'Съставки'!$A$2:$A$34,0)))</f>
        <v/>
      </c>
      <c r="J87">
        <f>IF($B87="",0,INDEX('Съставки'!$H$2:$H$34,MATCH($B87,'Съставки'!$A$2:$A$34,0)))</f>
        <v/>
      </c>
      <c r="K87">
        <f>IF($B87="",0,INDEX('Съставки'!$I$2:$I$34,MATCH($B87,'Съставки'!$A$2:$A$34,0)))</f>
        <v/>
      </c>
      <c r="L87">
        <f>IF($B87="",0,INDEX('Съставки'!$J$2:$J$34,MATCH($B87,'Съставки'!$A$2:$A$34,0)))</f>
        <v/>
      </c>
      <c r="M87">
        <f>IF($B87="",0,INDEX('Съставки'!$K$2:$K$34,MATCH($B87,'Съставки'!$A$2:$A$34,0)))</f>
        <v/>
      </c>
      <c r="N87">
        <f>IF($B87="",0,INDEX('Съставки'!$L$2:$L$34,MATCH($B87,'Съставки'!$A$2:$A$34,0)))</f>
        <v/>
      </c>
      <c r="O87">
        <f>IF($B87="",0,INDEX('Съставки'!$M$2:$M$34,MATCH($B87,'Съставки'!$A$2:$A$34,0)))</f>
        <v/>
      </c>
      <c r="P87">
        <f>IF($B87="",0,INDEX('Съставки'!$N$2:$N$34,MATCH($B87,'Съставки'!$A$2:$A$34,0)))</f>
        <v/>
      </c>
      <c r="Q87">
        <f>IF($B87="",0,INDEX('Съставки'!$O$2:$O$34,MATCH($B87,'Съставки'!$A$2:$A$34,0)))</f>
        <v/>
      </c>
      <c r="R87">
        <f>IF($B87="",0,INDEX('Съставки'!$P$2:$P$34,MATCH($B87,'Съставки'!$A$2:$A$34,0)))</f>
        <v/>
      </c>
      <c r="S87">
        <f>IF($B87="",0,INDEX('Съставки'!$Q$2:$Q$34,MATCH($B87,'Съставки'!$A$2:$A$34,0)))</f>
        <v/>
      </c>
      <c r="T87">
        <f>IF($B87="",0,INDEX('Съставки'!$R$2:$R$34,MATCH($B87,'Съставки'!$A$2:$A$34,0)))</f>
        <v/>
      </c>
    </row>
    <row r="88">
      <c r="A88" s="17" t="inlineStr">
        <is>
          <t>Кюнефе</t>
        </is>
      </c>
      <c r="B88" s="5" t="inlineStr">
        <is>
          <t>Мед/сироп</t>
        </is>
      </c>
      <c r="C88" s="18" t="n">
        <v>0.15</v>
      </c>
      <c r="D88" s="19">
        <f>IF($B88="","",INDEX('Съставки'!$B$2:$B$34,MATCH($B88,'Съставки'!$A$2:$A$34,0)))</f>
        <v/>
      </c>
      <c r="E88" s="20">
        <f>IF($B88="","",INDEX('Съставки'!$C$2:$C$34,MATCH($B88,'Съставки'!$A$2:$A$34,0)))</f>
        <v/>
      </c>
      <c r="F88" s="20">
        <f>IF($B88="","",$C88*$E88)</f>
        <v/>
      </c>
      <c r="G88">
        <f>IF($B88="",0,INDEX('Съставки'!$E$2:$E$34,MATCH($B88,'Съставки'!$A$2:$A$34,0)))</f>
        <v/>
      </c>
      <c r="H88">
        <f>IF($B88="",0,INDEX('Съставки'!$F$2:$F$34,MATCH($B88,'Съставки'!$A$2:$A$34,0)))</f>
        <v/>
      </c>
      <c r="I88">
        <f>IF($B88="",0,INDEX('Съставки'!$G$2:$G$34,MATCH($B88,'Съставки'!$A$2:$A$34,0)))</f>
        <v/>
      </c>
      <c r="J88">
        <f>IF($B88="",0,INDEX('Съставки'!$H$2:$H$34,MATCH($B88,'Съставки'!$A$2:$A$34,0)))</f>
        <v/>
      </c>
      <c r="K88">
        <f>IF($B88="",0,INDEX('Съставки'!$I$2:$I$34,MATCH($B88,'Съставки'!$A$2:$A$34,0)))</f>
        <v/>
      </c>
      <c r="L88">
        <f>IF($B88="",0,INDEX('Съставки'!$J$2:$J$34,MATCH($B88,'Съставки'!$A$2:$A$34,0)))</f>
        <v/>
      </c>
      <c r="M88">
        <f>IF($B88="",0,INDEX('Съставки'!$K$2:$K$34,MATCH($B88,'Съставки'!$A$2:$A$34,0)))</f>
        <v/>
      </c>
      <c r="N88">
        <f>IF($B88="",0,INDEX('Съставки'!$L$2:$L$34,MATCH($B88,'Съставки'!$A$2:$A$34,0)))</f>
        <v/>
      </c>
      <c r="O88">
        <f>IF($B88="",0,INDEX('Съставки'!$M$2:$M$34,MATCH($B88,'Съставки'!$A$2:$A$34,0)))</f>
        <v/>
      </c>
      <c r="P88">
        <f>IF($B88="",0,INDEX('Съставки'!$N$2:$N$34,MATCH($B88,'Съставки'!$A$2:$A$34,0)))</f>
        <v/>
      </c>
      <c r="Q88">
        <f>IF($B88="",0,INDEX('Съставки'!$O$2:$O$34,MATCH($B88,'Съставки'!$A$2:$A$34,0)))</f>
        <v/>
      </c>
      <c r="R88">
        <f>IF($B88="",0,INDEX('Съставки'!$P$2:$P$34,MATCH($B88,'Съставки'!$A$2:$A$34,0)))</f>
        <v/>
      </c>
      <c r="S88">
        <f>IF($B88="",0,INDEX('Съставки'!$Q$2:$Q$34,MATCH($B88,'Съставки'!$A$2:$A$34,0)))</f>
        <v/>
      </c>
      <c r="T88">
        <f>IF($B88="",0,INDEX('Съставки'!$R$2:$R$34,MATCH($B88,'Съставки'!$A$2:$A$34,0)))</f>
        <v/>
      </c>
    </row>
    <row r="89">
      <c r="A89" s="21" t="inlineStr">
        <is>
          <t>ОБЩА СЕБЕСТОЙНОСТ:</t>
        </is>
      </c>
      <c r="F89" s="22">
        <f>SUM(F84:F88)</f>
        <v/>
      </c>
    </row>
    <row r="91" ht="20" customHeight="1">
      <c r="A91" s="10" t="inlineStr">
        <is>
          <t>Турско кафе  /  Turkish Coffee</t>
        </is>
      </c>
    </row>
    <row r="92">
      <c r="A92" s="11" t="inlineStr">
        <is>
          <t>Категория:</t>
        </is>
      </c>
      <c r="B92" s="12" t="inlineStr">
        <is>
          <t>Напитки</t>
        </is>
      </c>
      <c r="C92" s="11" t="inlineStr">
        <is>
          <t>Порции:</t>
        </is>
      </c>
      <c r="D92" s="13">
        <f>INDEX('Рецепти'!$E:$E,9)</f>
        <v/>
      </c>
      <c r="E92" s="11" t="inlineStr">
        <is>
          <t>Себестойност/порция:</t>
        </is>
      </c>
      <c r="F92" s="14">
        <f>INDEX('Рецепти'!$G:$G,9)</f>
        <v/>
      </c>
    </row>
    <row r="93" ht="30" customHeight="1">
      <c r="A93" s="15" t="inlineStr">
        <is>
          <t>Приготвяне: Сварете мляното кафе със захар (по желание) и вода в джезве на слаб огън, без да завира. Поднесете с пяна.</t>
        </is>
      </c>
    </row>
    <row r="94">
      <c r="A94" s="16" t="inlineStr">
        <is>
          <t>Ястие (за справка)</t>
        </is>
      </c>
      <c r="B94" s="16" t="inlineStr">
        <is>
          <t>Съставка</t>
        </is>
      </c>
      <c r="C94" s="16" t="inlineStr">
        <is>
          <t>Количество</t>
        </is>
      </c>
      <c r="D94" s="16" t="inlineStr">
        <is>
          <t>Мярка</t>
        </is>
      </c>
      <c r="E94" s="16" t="inlineStr">
        <is>
          <t>Цена/ед. (лв)</t>
        </is>
      </c>
      <c r="F94" s="16" t="inlineStr">
        <is>
          <t>Стойност (лв)</t>
        </is>
      </c>
    </row>
    <row r="95">
      <c r="A95" s="17" t="inlineStr">
        <is>
          <t>Турско кафе</t>
        </is>
      </c>
      <c r="B95" s="5" t="inlineStr">
        <is>
          <t>Кафе турско мляно</t>
        </is>
      </c>
      <c r="C95" s="18" t="n">
        <v>0.007</v>
      </c>
      <c r="D95" s="19">
        <f>IF($B95="","",INDEX('Съставки'!$B$2:$B$34,MATCH($B95,'Съставки'!$A$2:$A$34,0)))</f>
        <v/>
      </c>
      <c r="E95" s="20">
        <f>IF($B95="","",INDEX('Съставки'!$C$2:$C$34,MATCH($B95,'Съставки'!$A$2:$A$34,0)))</f>
        <v/>
      </c>
      <c r="F95" s="20">
        <f>IF($B95="","",$C95*$E95)</f>
        <v/>
      </c>
      <c r="G95">
        <f>IF($B95="",0,INDEX('Съставки'!$E$2:$E$34,MATCH($B95,'Съставки'!$A$2:$A$34,0)))</f>
        <v/>
      </c>
      <c r="H95">
        <f>IF($B95="",0,INDEX('Съставки'!$F$2:$F$34,MATCH($B95,'Съставки'!$A$2:$A$34,0)))</f>
        <v/>
      </c>
      <c r="I95">
        <f>IF($B95="",0,INDEX('Съставки'!$G$2:$G$34,MATCH($B95,'Съставки'!$A$2:$A$34,0)))</f>
        <v/>
      </c>
      <c r="J95">
        <f>IF($B95="",0,INDEX('Съставки'!$H$2:$H$34,MATCH($B95,'Съставки'!$A$2:$A$34,0)))</f>
        <v/>
      </c>
      <c r="K95">
        <f>IF($B95="",0,INDEX('Съставки'!$I$2:$I$34,MATCH($B95,'Съставки'!$A$2:$A$34,0)))</f>
        <v/>
      </c>
      <c r="L95">
        <f>IF($B95="",0,INDEX('Съставки'!$J$2:$J$34,MATCH($B95,'Съставки'!$A$2:$A$34,0)))</f>
        <v/>
      </c>
      <c r="M95">
        <f>IF($B95="",0,INDEX('Съставки'!$K$2:$K$34,MATCH($B95,'Съставки'!$A$2:$A$34,0)))</f>
        <v/>
      </c>
      <c r="N95">
        <f>IF($B95="",0,INDEX('Съставки'!$L$2:$L$34,MATCH($B95,'Съставки'!$A$2:$A$34,0)))</f>
        <v/>
      </c>
      <c r="O95">
        <f>IF($B95="",0,INDEX('Съставки'!$M$2:$M$34,MATCH($B95,'Съставки'!$A$2:$A$34,0)))</f>
        <v/>
      </c>
      <c r="P95">
        <f>IF($B95="",0,INDEX('Съставки'!$N$2:$N$34,MATCH($B95,'Съставки'!$A$2:$A$34,0)))</f>
        <v/>
      </c>
      <c r="Q95">
        <f>IF($B95="",0,INDEX('Съставки'!$O$2:$O$34,MATCH($B95,'Съставки'!$A$2:$A$34,0)))</f>
        <v/>
      </c>
      <c r="R95">
        <f>IF($B95="",0,INDEX('Съставки'!$P$2:$P$34,MATCH($B95,'Съставки'!$A$2:$A$34,0)))</f>
        <v/>
      </c>
      <c r="S95">
        <f>IF($B95="",0,INDEX('Съставки'!$Q$2:$Q$34,MATCH($B95,'Съставки'!$A$2:$A$34,0)))</f>
        <v/>
      </c>
      <c r="T95">
        <f>IF($B95="",0,INDEX('Съставки'!$R$2:$R$34,MATCH($B95,'Съставки'!$A$2:$A$34,0)))</f>
        <v/>
      </c>
    </row>
    <row r="96">
      <c r="A96" s="17" t="inlineStr">
        <is>
          <t>Турско кафе</t>
        </is>
      </c>
      <c r="B96" s="5" t="inlineStr">
        <is>
          <t>Захар</t>
        </is>
      </c>
      <c r="C96" s="18" t="n">
        <v>0.005</v>
      </c>
      <c r="D96" s="19">
        <f>IF($B96="","",INDEX('Съставки'!$B$2:$B$34,MATCH($B96,'Съставки'!$A$2:$A$34,0)))</f>
        <v/>
      </c>
      <c r="E96" s="20">
        <f>IF($B96="","",INDEX('Съставки'!$C$2:$C$34,MATCH($B96,'Съставки'!$A$2:$A$34,0)))</f>
        <v/>
      </c>
      <c r="F96" s="20">
        <f>IF($B96="","",$C96*$E96)</f>
        <v/>
      </c>
      <c r="G96">
        <f>IF($B96="",0,INDEX('Съставки'!$E$2:$E$34,MATCH($B96,'Съставки'!$A$2:$A$34,0)))</f>
        <v/>
      </c>
      <c r="H96">
        <f>IF($B96="",0,INDEX('Съставки'!$F$2:$F$34,MATCH($B96,'Съставки'!$A$2:$A$34,0)))</f>
        <v/>
      </c>
      <c r="I96">
        <f>IF($B96="",0,INDEX('Съставки'!$G$2:$G$34,MATCH($B96,'Съставки'!$A$2:$A$34,0)))</f>
        <v/>
      </c>
      <c r="J96">
        <f>IF($B96="",0,INDEX('Съставки'!$H$2:$H$34,MATCH($B96,'Съставки'!$A$2:$A$34,0)))</f>
        <v/>
      </c>
      <c r="K96">
        <f>IF($B96="",0,INDEX('Съставки'!$I$2:$I$34,MATCH($B96,'Съставки'!$A$2:$A$34,0)))</f>
        <v/>
      </c>
      <c r="L96">
        <f>IF($B96="",0,INDEX('Съставки'!$J$2:$J$34,MATCH($B96,'Съставки'!$A$2:$A$34,0)))</f>
        <v/>
      </c>
      <c r="M96">
        <f>IF($B96="",0,INDEX('Съставки'!$K$2:$K$34,MATCH($B96,'Съставки'!$A$2:$A$34,0)))</f>
        <v/>
      </c>
      <c r="N96">
        <f>IF($B96="",0,INDEX('Съставки'!$L$2:$L$34,MATCH($B96,'Съставки'!$A$2:$A$34,0)))</f>
        <v/>
      </c>
      <c r="O96">
        <f>IF($B96="",0,INDEX('Съставки'!$M$2:$M$34,MATCH($B96,'Съставки'!$A$2:$A$34,0)))</f>
        <v/>
      </c>
      <c r="P96">
        <f>IF($B96="",0,INDEX('Съставки'!$N$2:$N$34,MATCH($B96,'Съставки'!$A$2:$A$34,0)))</f>
        <v/>
      </c>
      <c r="Q96">
        <f>IF($B96="",0,INDEX('Съставки'!$O$2:$O$34,MATCH($B96,'Съставки'!$A$2:$A$34,0)))</f>
        <v/>
      </c>
      <c r="R96">
        <f>IF($B96="",0,INDEX('Съставки'!$P$2:$P$34,MATCH($B96,'Съставки'!$A$2:$A$34,0)))</f>
        <v/>
      </c>
      <c r="S96">
        <f>IF($B96="",0,INDEX('Съставки'!$Q$2:$Q$34,MATCH($B96,'Съставки'!$A$2:$A$34,0)))</f>
        <v/>
      </c>
      <c r="T96">
        <f>IF($B96="",0,INDEX('Съставки'!$R$2:$R$34,MATCH($B96,'Съставки'!$A$2:$A$34,0)))</f>
        <v/>
      </c>
    </row>
    <row r="97">
      <c r="A97" s="17" t="inlineStr">
        <is>
          <t>Турско кафе</t>
        </is>
      </c>
      <c r="B97" s="5" t="inlineStr">
        <is>
          <t>Вода</t>
        </is>
      </c>
      <c r="C97" s="18" t="n">
        <v>0.1</v>
      </c>
      <c r="D97" s="19">
        <f>IF($B97="","",INDEX('Съставки'!$B$2:$B$34,MATCH($B97,'Съставки'!$A$2:$A$34,0)))</f>
        <v/>
      </c>
      <c r="E97" s="20">
        <f>IF($B97="","",INDEX('Съставки'!$C$2:$C$34,MATCH($B97,'Съставки'!$A$2:$A$34,0)))</f>
        <v/>
      </c>
      <c r="F97" s="20">
        <f>IF($B97="","",$C97*$E97)</f>
        <v/>
      </c>
      <c r="G97">
        <f>IF($B97="",0,INDEX('Съставки'!$E$2:$E$34,MATCH($B97,'Съставки'!$A$2:$A$34,0)))</f>
        <v/>
      </c>
      <c r="H97">
        <f>IF($B97="",0,INDEX('Съставки'!$F$2:$F$34,MATCH($B97,'Съставки'!$A$2:$A$34,0)))</f>
        <v/>
      </c>
      <c r="I97">
        <f>IF($B97="",0,INDEX('Съставки'!$G$2:$G$34,MATCH($B97,'Съставки'!$A$2:$A$34,0)))</f>
        <v/>
      </c>
      <c r="J97">
        <f>IF($B97="",0,INDEX('Съставки'!$H$2:$H$34,MATCH($B97,'Съставки'!$A$2:$A$34,0)))</f>
        <v/>
      </c>
      <c r="K97">
        <f>IF($B97="",0,INDEX('Съставки'!$I$2:$I$34,MATCH($B97,'Съставки'!$A$2:$A$34,0)))</f>
        <v/>
      </c>
      <c r="L97">
        <f>IF($B97="",0,INDEX('Съставки'!$J$2:$J$34,MATCH($B97,'Съставки'!$A$2:$A$34,0)))</f>
        <v/>
      </c>
      <c r="M97">
        <f>IF($B97="",0,INDEX('Съставки'!$K$2:$K$34,MATCH($B97,'Съставки'!$A$2:$A$34,0)))</f>
        <v/>
      </c>
      <c r="N97">
        <f>IF($B97="",0,INDEX('Съставки'!$L$2:$L$34,MATCH($B97,'Съставки'!$A$2:$A$34,0)))</f>
        <v/>
      </c>
      <c r="O97">
        <f>IF($B97="",0,INDEX('Съставки'!$M$2:$M$34,MATCH($B97,'Съставки'!$A$2:$A$34,0)))</f>
        <v/>
      </c>
      <c r="P97">
        <f>IF($B97="",0,INDEX('Съставки'!$N$2:$N$34,MATCH($B97,'Съставки'!$A$2:$A$34,0)))</f>
        <v/>
      </c>
      <c r="Q97">
        <f>IF($B97="",0,INDEX('Съставки'!$O$2:$O$34,MATCH($B97,'Съставки'!$A$2:$A$34,0)))</f>
        <v/>
      </c>
      <c r="R97">
        <f>IF($B97="",0,INDEX('Съставки'!$P$2:$P$34,MATCH($B97,'Съставки'!$A$2:$A$34,0)))</f>
        <v/>
      </c>
      <c r="S97">
        <f>IF($B97="",0,INDEX('Съставки'!$Q$2:$Q$34,MATCH($B97,'Съставки'!$A$2:$A$34,0)))</f>
        <v/>
      </c>
      <c r="T97">
        <f>IF($B97="",0,INDEX('Съставки'!$R$2:$R$34,MATCH($B97,'Съставки'!$A$2:$A$34,0)))</f>
        <v/>
      </c>
    </row>
    <row r="98">
      <c r="A98" s="21" t="inlineStr">
        <is>
          <t>ОБЩА СЕБЕСТОЙНОСТ:</t>
        </is>
      </c>
      <c r="F98" s="22">
        <f>SUM(F95:F97)</f>
        <v/>
      </c>
    </row>
  </sheetData>
  <mergeCells count="24">
    <mergeCell ref="A16:F16"/>
    <mergeCell ref="A54:F54"/>
    <mergeCell ref="A80:F80"/>
    <mergeCell ref="A98:E98"/>
    <mergeCell ref="A18:F18"/>
    <mergeCell ref="A56:F56"/>
    <mergeCell ref="A2:F2"/>
    <mergeCell ref="A42:F42"/>
    <mergeCell ref="A78:E78"/>
    <mergeCell ref="A32:F32"/>
    <mergeCell ref="A4:F4"/>
    <mergeCell ref="A66:E66"/>
    <mergeCell ref="A89:E89"/>
    <mergeCell ref="A91:F91"/>
    <mergeCell ref="A93:F93"/>
    <mergeCell ref="A68:F68"/>
    <mergeCell ref="A44:F44"/>
    <mergeCell ref="A14:E14"/>
    <mergeCell ref="A30:F30"/>
    <mergeCell ref="A82:F82"/>
    <mergeCell ref="A52:E52"/>
    <mergeCell ref="A28:E28"/>
    <mergeCell ref="A70:F70"/>
    <mergeCell ref="A40:E40"/>
  </mergeCells>
  <dataValidations count="1">
    <dataValidation sqref="B2:B100" showDropDown="0" showInputMessage="0" showErrorMessage="0" allowBlank="1" type="list">
      <formula1>='Съставки'!$A$2:$A$34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8" customWidth="1" min="4" max="4"/>
    <col width="9" customWidth="1" min="5" max="5"/>
    <col width="16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4" t="inlineStr">
        <is>
          <t>Рецепта (BG)</t>
        </is>
      </c>
      <c r="B1" s="4" t="inlineStr">
        <is>
          <t>Име (EN)</t>
        </is>
      </c>
      <c r="C1" s="4" t="inlineStr">
        <is>
          <t>Категория</t>
        </is>
      </c>
      <c r="D1" s="4" t="inlineStr">
        <is>
          <t>Описание (за меню)</t>
        </is>
      </c>
      <c r="E1" s="4" t="inlineStr">
        <is>
          <t>Порции</t>
        </is>
      </c>
      <c r="F1" s="4" t="inlineStr">
        <is>
          <t>Себестойност общо (лв)</t>
        </is>
      </c>
      <c r="G1" s="4" t="inlineStr">
        <is>
          <t>Себестойност/порция (лв)</t>
        </is>
      </c>
      <c r="H1" s="4" t="inlineStr">
        <is>
          <t>Глутен</t>
        </is>
      </c>
      <c r="I1" s="4" t="inlineStr">
        <is>
          <t>Ракообразни</t>
        </is>
      </c>
      <c r="J1" s="4" t="inlineStr">
        <is>
          <t>Яйца</t>
        </is>
      </c>
      <c r="K1" s="4" t="inlineStr">
        <is>
          <t>Риба</t>
        </is>
      </c>
      <c r="L1" s="4" t="inlineStr">
        <is>
          <t>Фъстъци</t>
        </is>
      </c>
      <c r="M1" s="4" t="inlineStr">
        <is>
          <t>Соя</t>
        </is>
      </c>
      <c r="N1" s="4" t="inlineStr">
        <is>
          <t>Мляко</t>
        </is>
      </c>
      <c r="O1" s="4" t="inlineStr">
        <is>
          <t>Ядки</t>
        </is>
      </c>
      <c r="P1" s="4" t="inlineStr">
        <is>
          <t>Целина</t>
        </is>
      </c>
      <c r="Q1" s="4" t="inlineStr">
        <is>
          <t>Синап</t>
        </is>
      </c>
      <c r="R1" s="4" t="inlineStr">
        <is>
          <t>Сусам</t>
        </is>
      </c>
      <c r="S1" s="4" t="inlineStr">
        <is>
          <t>Серен диоксид/сулфити</t>
        </is>
      </c>
      <c r="T1" s="4" t="inlineStr">
        <is>
          <t>Лупина</t>
        </is>
      </c>
      <c r="U1" s="4" t="inlineStr">
        <is>
          <t>Мекотели</t>
        </is>
      </c>
    </row>
    <row r="2">
      <c r="A2" s="5" t="inlineStr">
        <is>
          <t>Чорба Езогелин</t>
        </is>
      </c>
      <c r="B2" s="5" t="inlineStr">
        <is>
          <t>Ezogelin Soup</t>
        </is>
      </c>
      <c r="C2" s="5" t="inlineStr">
        <is>
          <t>Предястия</t>
        </is>
      </c>
      <c r="D2" s="23" t="inlineStr">
        <is>
          <t>Традиционна турска чорба от червена леща и булгур</t>
        </is>
      </c>
      <c r="E2" s="24" t="n">
        <v>8</v>
      </c>
      <c r="F2" s="20">
        <f>SUMIF('Кухненска_карта'!$A$2:$A$100,$A2,'Кухненска_карта'!$F$2:$F$100)</f>
        <v/>
      </c>
      <c r="G2" s="20">
        <f>IF($E2=0,0,$F2/$E2)</f>
        <v/>
      </c>
      <c r="H2" s="7">
        <f>IF(SUMIF('Кухненска_карта'!$A$2:$A$100,$A2,'Кухненска_карта'!$G$2:$G$100)&gt;0,"Да","-")</f>
        <v/>
      </c>
      <c r="I2" s="7">
        <f>IF(SUMIF('Кухненска_карта'!$A$2:$A$100,$A2,'Кухненска_карта'!$H$2:$H$100)&gt;0,"Да","-")</f>
        <v/>
      </c>
      <c r="J2" s="7">
        <f>IF(SUMIF('Кухненска_карта'!$A$2:$A$100,$A2,'Кухненска_карта'!$I$2:$I$100)&gt;0,"Да","-")</f>
        <v/>
      </c>
      <c r="K2" s="7">
        <f>IF(SUMIF('Кухненска_карта'!$A$2:$A$100,$A2,'Кухненска_карта'!$J$2:$J$100)&gt;0,"Да","-")</f>
        <v/>
      </c>
      <c r="L2" s="7">
        <f>IF(SUMIF('Кухненска_карта'!$A$2:$A$100,$A2,'Кухненска_карта'!$K$2:$K$100)&gt;0,"Да","-")</f>
        <v/>
      </c>
      <c r="M2" s="7">
        <f>IF(SUMIF('Кухненска_карта'!$A$2:$A$100,$A2,'Кухненска_карта'!$L$2:$L$100)&gt;0,"Да","-")</f>
        <v/>
      </c>
      <c r="N2" s="7">
        <f>IF(SUMIF('Кухненска_карта'!$A$2:$A$100,$A2,'Кухненска_карта'!$M$2:$M$100)&gt;0,"Да","-")</f>
        <v/>
      </c>
      <c r="O2" s="7">
        <f>IF(SUMIF('Кухненска_карта'!$A$2:$A$100,$A2,'Кухненска_карта'!$N$2:$N$100)&gt;0,"Да","-")</f>
        <v/>
      </c>
      <c r="P2" s="7">
        <f>IF(SUMIF('Кухненска_карта'!$A$2:$A$100,$A2,'Кухненска_карта'!$O$2:$O$100)&gt;0,"Да","-")</f>
        <v/>
      </c>
      <c r="Q2" s="7">
        <f>IF(SUMIF('Кухненска_карта'!$A$2:$A$100,$A2,'Кухненска_карта'!$P$2:$P$100)&gt;0,"Да","-")</f>
        <v/>
      </c>
      <c r="R2" s="7">
        <f>IF(SUMIF('Кухненска_карта'!$A$2:$A$100,$A2,'Кухненска_карта'!$Q$2:$Q$100)&gt;0,"Да","-")</f>
        <v/>
      </c>
      <c r="S2" s="7">
        <f>IF(SUMIF('Кухненска_карта'!$A$2:$A$100,$A2,'Кухненска_карта'!$R$2:$R$100)&gt;0,"Да","-")</f>
        <v/>
      </c>
      <c r="T2" s="7">
        <f>IF(SUMIF('Кухненска_карта'!$A$2:$A$100,$A2,'Кухненска_карта'!$S$2:$S$100)&gt;0,"Да","-")</f>
        <v/>
      </c>
      <c r="U2" s="7">
        <f>IF(SUMIF('Кухненска_карта'!$A$2:$A$100,$A2,'Кухненска_карта'!$T$2:$T$100)&gt;0,"Да","-")</f>
        <v/>
      </c>
    </row>
    <row r="3">
      <c r="A3" s="5" t="inlineStr">
        <is>
          <t>Мезе плато (турско)</t>
        </is>
      </c>
      <c r="B3" s="5" t="inlineStr">
        <is>
          <t>Turkish Meze Platter</t>
        </is>
      </c>
      <c r="C3" s="5" t="inlineStr">
        <is>
          <t>Предястия</t>
        </is>
      </c>
      <c r="D3" s="23" t="inlineStr">
        <is>
          <t>Селекция от традиционни турски мезета за споделяне</t>
        </is>
      </c>
      <c r="E3" s="24" t="n">
        <v>4</v>
      </c>
      <c r="F3" s="20">
        <f>SUMIF('Кухненска_карта'!$A$2:$A$100,$A3,'Кухненска_карта'!$F$2:$F$100)</f>
        <v/>
      </c>
      <c r="G3" s="20">
        <f>IF($E3=0,0,$F3/$E3)</f>
        <v/>
      </c>
      <c r="H3" s="7">
        <f>IF(SUMIF('Кухненска_карта'!$A$2:$A$100,$A3,'Кухненска_карта'!$G$2:$G$100)&gt;0,"Да","-")</f>
        <v/>
      </c>
      <c r="I3" s="7">
        <f>IF(SUMIF('Кухненска_карта'!$A$2:$A$100,$A3,'Кухненска_карта'!$H$2:$H$100)&gt;0,"Да","-")</f>
        <v/>
      </c>
      <c r="J3" s="7">
        <f>IF(SUMIF('Кухненска_карта'!$A$2:$A$100,$A3,'Кухненска_карта'!$I$2:$I$100)&gt;0,"Да","-")</f>
        <v/>
      </c>
      <c r="K3" s="7">
        <f>IF(SUMIF('Кухненска_карта'!$A$2:$A$100,$A3,'Кухненска_карта'!$J$2:$J$100)&gt;0,"Да","-")</f>
        <v/>
      </c>
      <c r="L3" s="7">
        <f>IF(SUMIF('Кухненска_карта'!$A$2:$A$100,$A3,'Кухненска_карта'!$K$2:$K$100)&gt;0,"Да","-")</f>
        <v/>
      </c>
      <c r="M3" s="7">
        <f>IF(SUMIF('Кухненска_карта'!$A$2:$A$100,$A3,'Кухненска_карта'!$L$2:$L$100)&gt;0,"Да","-")</f>
        <v/>
      </c>
      <c r="N3" s="7">
        <f>IF(SUMIF('Кухненска_карта'!$A$2:$A$100,$A3,'Кухненска_карта'!$M$2:$M$100)&gt;0,"Да","-")</f>
        <v/>
      </c>
      <c r="O3" s="7">
        <f>IF(SUMIF('Кухненска_карта'!$A$2:$A$100,$A3,'Кухненска_карта'!$N$2:$N$100)&gt;0,"Да","-")</f>
        <v/>
      </c>
      <c r="P3" s="7">
        <f>IF(SUMIF('Кухненска_карта'!$A$2:$A$100,$A3,'Кухненска_карта'!$O$2:$O$100)&gt;0,"Да","-")</f>
        <v/>
      </c>
      <c r="Q3" s="7">
        <f>IF(SUMIF('Кухненска_карта'!$A$2:$A$100,$A3,'Кухненска_карта'!$P$2:$P$100)&gt;0,"Да","-")</f>
        <v/>
      </c>
      <c r="R3" s="7">
        <f>IF(SUMIF('Кухненска_карта'!$A$2:$A$100,$A3,'Кухненска_карта'!$Q$2:$Q$100)&gt;0,"Да","-")</f>
        <v/>
      </c>
      <c r="S3" s="7">
        <f>IF(SUMIF('Кухненска_карта'!$A$2:$A$100,$A3,'Кухненска_карта'!$R$2:$R$100)&gt;0,"Да","-")</f>
        <v/>
      </c>
      <c r="T3" s="7">
        <f>IF(SUMIF('Кухненска_карта'!$A$2:$A$100,$A3,'Кухненска_карта'!$S$2:$S$100)&gt;0,"Да","-")</f>
        <v/>
      </c>
      <c r="U3" s="7">
        <f>IF(SUMIF('Кухненска_карта'!$A$2:$A$100,$A3,'Кухненска_карта'!$T$2:$T$100)&gt;0,"Да","-")</f>
        <v/>
      </c>
    </row>
    <row r="4">
      <c r="A4" s="5" t="inlineStr">
        <is>
          <t>Искендер кебап</t>
        </is>
      </c>
      <c r="B4" s="5" t="inlineStr">
        <is>
          <t>Iskender Kebab</t>
        </is>
      </c>
      <c r="C4" s="5" t="inlineStr">
        <is>
          <t>Основни</t>
        </is>
      </c>
      <c r="D4" s="23" t="inlineStr">
        <is>
          <t>Дюнер месо върху пита с доматен сос и кисело мляко</t>
        </is>
      </c>
      <c r="E4" s="24" t="n">
        <v>4</v>
      </c>
      <c r="F4" s="20">
        <f>SUMIF('Кухненска_карта'!$A$2:$A$100,$A4,'Кухненска_карта'!$F$2:$F$100)</f>
        <v/>
      </c>
      <c r="G4" s="20">
        <f>IF($E4=0,0,$F4/$E4)</f>
        <v/>
      </c>
      <c r="H4" s="7">
        <f>IF(SUMIF('Кухненска_карта'!$A$2:$A$100,$A4,'Кухненска_карта'!$G$2:$G$100)&gt;0,"Да","-")</f>
        <v/>
      </c>
      <c r="I4" s="7">
        <f>IF(SUMIF('Кухненска_карта'!$A$2:$A$100,$A4,'Кухненска_карта'!$H$2:$H$100)&gt;0,"Да","-")</f>
        <v/>
      </c>
      <c r="J4" s="7">
        <f>IF(SUMIF('Кухненска_карта'!$A$2:$A$100,$A4,'Кухненска_карта'!$I$2:$I$100)&gt;0,"Да","-")</f>
        <v/>
      </c>
      <c r="K4" s="7">
        <f>IF(SUMIF('Кухненска_карта'!$A$2:$A$100,$A4,'Кухненска_карта'!$J$2:$J$100)&gt;0,"Да","-")</f>
        <v/>
      </c>
      <c r="L4" s="7">
        <f>IF(SUMIF('Кухненска_карта'!$A$2:$A$100,$A4,'Кухненска_карта'!$K$2:$K$100)&gt;0,"Да","-")</f>
        <v/>
      </c>
      <c r="M4" s="7">
        <f>IF(SUMIF('Кухненска_карта'!$A$2:$A$100,$A4,'Кухненска_карта'!$L$2:$L$100)&gt;0,"Да","-")</f>
        <v/>
      </c>
      <c r="N4" s="7">
        <f>IF(SUMIF('Кухненска_карта'!$A$2:$A$100,$A4,'Кухненска_карта'!$M$2:$M$100)&gt;0,"Да","-")</f>
        <v/>
      </c>
      <c r="O4" s="7">
        <f>IF(SUMIF('Кухненска_карта'!$A$2:$A$100,$A4,'Кухненска_карта'!$N$2:$N$100)&gt;0,"Да","-")</f>
        <v/>
      </c>
      <c r="P4" s="7">
        <f>IF(SUMIF('Кухненска_карта'!$A$2:$A$100,$A4,'Кухненска_карта'!$O$2:$O$100)&gt;0,"Да","-")</f>
        <v/>
      </c>
      <c r="Q4" s="7">
        <f>IF(SUMIF('Кухненска_карта'!$A$2:$A$100,$A4,'Кухненска_карта'!$P$2:$P$100)&gt;0,"Да","-")</f>
        <v/>
      </c>
      <c r="R4" s="7">
        <f>IF(SUMIF('Кухненска_карта'!$A$2:$A$100,$A4,'Кухненска_карта'!$Q$2:$Q$100)&gt;0,"Да","-")</f>
        <v/>
      </c>
      <c r="S4" s="7">
        <f>IF(SUMIF('Кухненска_карта'!$A$2:$A$100,$A4,'Кухненска_карта'!$R$2:$R$100)&gt;0,"Да","-")</f>
        <v/>
      </c>
      <c r="T4" s="7">
        <f>IF(SUMIF('Кухненска_карта'!$A$2:$A$100,$A4,'Кухненска_карта'!$S$2:$S$100)&gt;0,"Да","-")</f>
        <v/>
      </c>
      <c r="U4" s="7">
        <f>IF(SUMIF('Кухненска_карта'!$A$2:$A$100,$A4,'Кухненска_карта'!$T$2:$T$100)&gt;0,"Да","-")</f>
        <v/>
      </c>
    </row>
    <row r="5">
      <c r="A5" s="5" t="inlineStr">
        <is>
          <t>Адана кебап</t>
        </is>
      </c>
      <c r="B5" s="5" t="inlineStr">
        <is>
          <t>Adana Kebab</t>
        </is>
      </c>
      <c r="C5" s="5" t="inlineStr">
        <is>
          <t>Основни</t>
        </is>
      </c>
      <c r="D5" s="23" t="inlineStr">
        <is>
          <t>Пикантни агнешко-телешки кебапчета на скара</t>
        </is>
      </c>
      <c r="E5" s="24" t="n">
        <v>4</v>
      </c>
      <c r="F5" s="20">
        <f>SUMIF('Кухненска_карта'!$A$2:$A$100,$A5,'Кухненска_карта'!$F$2:$F$100)</f>
        <v/>
      </c>
      <c r="G5" s="20">
        <f>IF($E5=0,0,$F5/$E5)</f>
        <v/>
      </c>
      <c r="H5" s="7">
        <f>IF(SUMIF('Кухненска_карта'!$A$2:$A$100,$A5,'Кухненска_карта'!$G$2:$G$100)&gt;0,"Да","-")</f>
        <v/>
      </c>
      <c r="I5" s="7">
        <f>IF(SUMIF('Кухненска_карта'!$A$2:$A$100,$A5,'Кухненска_карта'!$H$2:$H$100)&gt;0,"Да","-")</f>
        <v/>
      </c>
      <c r="J5" s="7">
        <f>IF(SUMIF('Кухненска_карта'!$A$2:$A$100,$A5,'Кухненска_карта'!$I$2:$I$100)&gt;0,"Да","-")</f>
        <v/>
      </c>
      <c r="K5" s="7">
        <f>IF(SUMIF('Кухненска_карта'!$A$2:$A$100,$A5,'Кухненска_карта'!$J$2:$J$100)&gt;0,"Да","-")</f>
        <v/>
      </c>
      <c r="L5" s="7">
        <f>IF(SUMIF('Кухненска_карта'!$A$2:$A$100,$A5,'Кухненска_карта'!$K$2:$K$100)&gt;0,"Да","-")</f>
        <v/>
      </c>
      <c r="M5" s="7">
        <f>IF(SUMIF('Кухненска_карта'!$A$2:$A$100,$A5,'Кухненска_карта'!$L$2:$L$100)&gt;0,"Да","-")</f>
        <v/>
      </c>
      <c r="N5" s="7">
        <f>IF(SUMIF('Кухненска_карта'!$A$2:$A$100,$A5,'Кухненска_карта'!$M$2:$M$100)&gt;0,"Да","-")</f>
        <v/>
      </c>
      <c r="O5" s="7">
        <f>IF(SUMIF('Кухненска_карта'!$A$2:$A$100,$A5,'Кухненска_карта'!$N$2:$N$100)&gt;0,"Да","-")</f>
        <v/>
      </c>
      <c r="P5" s="7">
        <f>IF(SUMIF('Кухненска_карта'!$A$2:$A$100,$A5,'Кухненска_карта'!$O$2:$O$100)&gt;0,"Да","-")</f>
        <v/>
      </c>
      <c r="Q5" s="7">
        <f>IF(SUMIF('Кухненска_карта'!$A$2:$A$100,$A5,'Кухненска_карта'!$P$2:$P$100)&gt;0,"Да","-")</f>
        <v/>
      </c>
      <c r="R5" s="7">
        <f>IF(SUMIF('Кухненска_карта'!$A$2:$A$100,$A5,'Кухненска_карта'!$Q$2:$Q$100)&gt;0,"Да","-")</f>
        <v/>
      </c>
      <c r="S5" s="7">
        <f>IF(SUMIF('Кухненска_карта'!$A$2:$A$100,$A5,'Кухненска_карта'!$R$2:$R$100)&gt;0,"Да","-")</f>
        <v/>
      </c>
      <c r="T5" s="7">
        <f>IF(SUMIF('Кухненска_карта'!$A$2:$A$100,$A5,'Кухненска_карта'!$S$2:$S$100)&gt;0,"Да","-")</f>
        <v/>
      </c>
      <c r="U5" s="7">
        <f>IF(SUMIF('Кухненска_карта'!$A$2:$A$100,$A5,'Кухненска_карта'!$T$2:$T$100)&gt;0,"Да","-")</f>
        <v/>
      </c>
    </row>
    <row r="6">
      <c r="A6" s="5" t="inlineStr">
        <is>
          <t>Мантъ</t>
        </is>
      </c>
      <c r="B6" s="5" t="inlineStr">
        <is>
          <t>Turkish Mantı</t>
        </is>
      </c>
      <c r="C6" s="5" t="inlineStr">
        <is>
          <t>Основни</t>
        </is>
      </c>
      <c r="D6" s="23" t="inlineStr">
        <is>
          <t>Турски пелмени с кайма, поднесени с чеснов кисело мляко</t>
        </is>
      </c>
      <c r="E6" s="24" t="n">
        <v>6</v>
      </c>
      <c r="F6" s="20">
        <f>SUMIF('Кухненска_карта'!$A$2:$A$100,$A6,'Кухненска_карта'!$F$2:$F$100)</f>
        <v/>
      </c>
      <c r="G6" s="20">
        <f>IF($E6=0,0,$F6/$E6)</f>
        <v/>
      </c>
      <c r="H6" s="7">
        <f>IF(SUMIF('Кухненска_карта'!$A$2:$A$100,$A6,'Кухненска_карта'!$G$2:$G$100)&gt;0,"Да","-")</f>
        <v/>
      </c>
      <c r="I6" s="7">
        <f>IF(SUMIF('Кухненска_карта'!$A$2:$A$100,$A6,'Кухненска_карта'!$H$2:$H$100)&gt;0,"Да","-")</f>
        <v/>
      </c>
      <c r="J6" s="7">
        <f>IF(SUMIF('Кухненска_карта'!$A$2:$A$100,$A6,'Кухненска_карта'!$I$2:$I$100)&gt;0,"Да","-")</f>
        <v/>
      </c>
      <c r="K6" s="7">
        <f>IF(SUMIF('Кухненска_карта'!$A$2:$A$100,$A6,'Кухненска_карта'!$J$2:$J$100)&gt;0,"Да","-")</f>
        <v/>
      </c>
      <c r="L6" s="7">
        <f>IF(SUMIF('Кухненска_карта'!$A$2:$A$100,$A6,'Кухненска_карта'!$K$2:$K$100)&gt;0,"Да","-")</f>
        <v/>
      </c>
      <c r="M6" s="7">
        <f>IF(SUMIF('Кухненска_карта'!$A$2:$A$100,$A6,'Кухненска_карта'!$L$2:$L$100)&gt;0,"Да","-")</f>
        <v/>
      </c>
      <c r="N6" s="7">
        <f>IF(SUMIF('Кухненска_карта'!$A$2:$A$100,$A6,'Кухненска_карта'!$M$2:$M$100)&gt;0,"Да","-")</f>
        <v/>
      </c>
      <c r="O6" s="7">
        <f>IF(SUMIF('Кухненска_карта'!$A$2:$A$100,$A6,'Кухненска_карта'!$N$2:$N$100)&gt;0,"Да","-")</f>
        <v/>
      </c>
      <c r="P6" s="7">
        <f>IF(SUMIF('Кухненска_карта'!$A$2:$A$100,$A6,'Кухненска_карта'!$O$2:$O$100)&gt;0,"Да","-")</f>
        <v/>
      </c>
      <c r="Q6" s="7">
        <f>IF(SUMIF('Кухненска_карта'!$A$2:$A$100,$A6,'Кухненска_карта'!$P$2:$P$100)&gt;0,"Да","-")</f>
        <v/>
      </c>
      <c r="R6" s="7">
        <f>IF(SUMIF('Кухненска_карта'!$A$2:$A$100,$A6,'Кухненска_карта'!$Q$2:$Q$100)&gt;0,"Да","-")</f>
        <v/>
      </c>
      <c r="S6" s="7">
        <f>IF(SUMIF('Кухненска_карта'!$A$2:$A$100,$A6,'Кухненска_карта'!$R$2:$R$100)&gt;0,"Да","-")</f>
        <v/>
      </c>
      <c r="T6" s="7">
        <f>IF(SUMIF('Кухненска_карта'!$A$2:$A$100,$A6,'Кухненска_карта'!$S$2:$S$100)&gt;0,"Да","-")</f>
        <v/>
      </c>
      <c r="U6" s="7">
        <f>IF(SUMIF('Кухненска_карта'!$A$2:$A$100,$A6,'Кухненска_карта'!$T$2:$T$100)&gt;0,"Да","-")</f>
        <v/>
      </c>
    </row>
    <row r="7">
      <c r="A7" s="5" t="inlineStr">
        <is>
          <t>Баклава</t>
        </is>
      </c>
      <c r="B7" s="5" t="inlineStr">
        <is>
          <t>Baklava</t>
        </is>
      </c>
      <c r="C7" s="5" t="inlineStr">
        <is>
          <t>Десерти</t>
        </is>
      </c>
      <c r="D7" s="23" t="inlineStr">
        <is>
          <t>Многолистно тесто с орехи, залято с ароматен сироп</t>
        </is>
      </c>
      <c r="E7" s="24" t="n">
        <v>12</v>
      </c>
      <c r="F7" s="20">
        <f>SUMIF('Кухненска_карта'!$A$2:$A$100,$A7,'Кухненска_карта'!$F$2:$F$100)</f>
        <v/>
      </c>
      <c r="G7" s="20">
        <f>IF($E7=0,0,$F7/$E7)</f>
        <v/>
      </c>
      <c r="H7" s="7">
        <f>IF(SUMIF('Кухненска_карта'!$A$2:$A$100,$A7,'Кухненска_карта'!$G$2:$G$100)&gt;0,"Да","-")</f>
        <v/>
      </c>
      <c r="I7" s="7">
        <f>IF(SUMIF('Кухненска_карта'!$A$2:$A$100,$A7,'Кухненска_карта'!$H$2:$H$100)&gt;0,"Да","-")</f>
        <v/>
      </c>
      <c r="J7" s="7">
        <f>IF(SUMIF('Кухненска_карта'!$A$2:$A$100,$A7,'Кухненска_карта'!$I$2:$I$100)&gt;0,"Да","-")</f>
        <v/>
      </c>
      <c r="K7" s="7">
        <f>IF(SUMIF('Кухненска_карта'!$A$2:$A$100,$A7,'Кухненска_карта'!$J$2:$J$100)&gt;0,"Да","-")</f>
        <v/>
      </c>
      <c r="L7" s="7">
        <f>IF(SUMIF('Кухненска_карта'!$A$2:$A$100,$A7,'Кухненска_карта'!$K$2:$K$100)&gt;0,"Да","-")</f>
        <v/>
      </c>
      <c r="M7" s="7">
        <f>IF(SUMIF('Кухненска_карта'!$A$2:$A$100,$A7,'Кухненска_карта'!$L$2:$L$100)&gt;0,"Да","-")</f>
        <v/>
      </c>
      <c r="N7" s="7">
        <f>IF(SUMIF('Кухненска_карта'!$A$2:$A$100,$A7,'Кухненска_карта'!$M$2:$M$100)&gt;0,"Да","-")</f>
        <v/>
      </c>
      <c r="O7" s="7">
        <f>IF(SUMIF('Кухненска_карта'!$A$2:$A$100,$A7,'Кухненска_карта'!$N$2:$N$100)&gt;0,"Да","-")</f>
        <v/>
      </c>
      <c r="P7" s="7">
        <f>IF(SUMIF('Кухненска_карта'!$A$2:$A$100,$A7,'Кухненска_карта'!$O$2:$O$100)&gt;0,"Да","-")</f>
        <v/>
      </c>
      <c r="Q7" s="7">
        <f>IF(SUMIF('Кухненска_карта'!$A$2:$A$100,$A7,'Кухненска_карта'!$P$2:$P$100)&gt;0,"Да","-")</f>
        <v/>
      </c>
      <c r="R7" s="7">
        <f>IF(SUMIF('Кухненска_карта'!$A$2:$A$100,$A7,'Кухненска_карта'!$Q$2:$Q$100)&gt;0,"Да","-")</f>
        <v/>
      </c>
      <c r="S7" s="7">
        <f>IF(SUMIF('Кухненска_карта'!$A$2:$A$100,$A7,'Кухненска_карта'!$R$2:$R$100)&gt;0,"Да","-")</f>
        <v/>
      </c>
      <c r="T7" s="7">
        <f>IF(SUMIF('Кухненска_карта'!$A$2:$A$100,$A7,'Кухненска_карта'!$S$2:$S$100)&gt;0,"Да","-")</f>
        <v/>
      </c>
      <c r="U7" s="7">
        <f>IF(SUMIF('Кухненска_карта'!$A$2:$A$100,$A7,'Кухненска_карта'!$T$2:$T$100)&gt;0,"Да","-")</f>
        <v/>
      </c>
    </row>
    <row r="8">
      <c r="A8" s="5" t="inlineStr">
        <is>
          <t>Кюнефе</t>
        </is>
      </c>
      <c r="B8" s="5" t="inlineStr">
        <is>
          <t>Künefe</t>
        </is>
      </c>
      <c r="C8" s="5" t="inlineStr">
        <is>
          <t>Десерти</t>
        </is>
      </c>
      <c r="D8" s="23" t="inlineStr">
        <is>
          <t>Топъл десерт от кадаифено тесто и сирене в сироп</t>
        </is>
      </c>
      <c r="E8" s="24" t="n">
        <v>8</v>
      </c>
      <c r="F8" s="20">
        <f>SUMIF('Кухненска_карта'!$A$2:$A$100,$A8,'Кухненска_карта'!$F$2:$F$100)</f>
        <v/>
      </c>
      <c r="G8" s="20">
        <f>IF($E8=0,0,$F8/$E8)</f>
        <v/>
      </c>
      <c r="H8" s="7">
        <f>IF(SUMIF('Кухненска_карта'!$A$2:$A$100,$A8,'Кухненска_карта'!$G$2:$G$100)&gt;0,"Да","-")</f>
        <v/>
      </c>
      <c r="I8" s="7">
        <f>IF(SUMIF('Кухненска_карта'!$A$2:$A$100,$A8,'Кухненска_карта'!$H$2:$H$100)&gt;0,"Да","-")</f>
        <v/>
      </c>
      <c r="J8" s="7">
        <f>IF(SUMIF('Кухненска_карта'!$A$2:$A$100,$A8,'Кухненска_карта'!$I$2:$I$100)&gt;0,"Да","-")</f>
        <v/>
      </c>
      <c r="K8" s="7">
        <f>IF(SUMIF('Кухненска_карта'!$A$2:$A$100,$A8,'Кухненска_карта'!$J$2:$J$100)&gt;0,"Да","-")</f>
        <v/>
      </c>
      <c r="L8" s="7">
        <f>IF(SUMIF('Кухненска_карта'!$A$2:$A$100,$A8,'Кухненска_карта'!$K$2:$K$100)&gt;0,"Да","-")</f>
        <v/>
      </c>
      <c r="M8" s="7">
        <f>IF(SUMIF('Кухненска_карта'!$A$2:$A$100,$A8,'Кухненска_карта'!$L$2:$L$100)&gt;0,"Да","-")</f>
        <v/>
      </c>
      <c r="N8" s="7">
        <f>IF(SUMIF('Кухненска_карта'!$A$2:$A$100,$A8,'Кухненска_карта'!$M$2:$M$100)&gt;0,"Да","-")</f>
        <v/>
      </c>
      <c r="O8" s="7">
        <f>IF(SUMIF('Кухненска_карта'!$A$2:$A$100,$A8,'Кухненска_карта'!$N$2:$N$100)&gt;0,"Да","-")</f>
        <v/>
      </c>
      <c r="P8" s="7">
        <f>IF(SUMIF('Кухненска_карта'!$A$2:$A$100,$A8,'Кухненска_карта'!$O$2:$O$100)&gt;0,"Да","-")</f>
        <v/>
      </c>
      <c r="Q8" s="7">
        <f>IF(SUMIF('Кухненска_карта'!$A$2:$A$100,$A8,'Кухненска_карта'!$P$2:$P$100)&gt;0,"Да","-")</f>
        <v/>
      </c>
      <c r="R8" s="7">
        <f>IF(SUMIF('Кухненска_карта'!$A$2:$A$100,$A8,'Кухненска_карта'!$Q$2:$Q$100)&gt;0,"Да","-")</f>
        <v/>
      </c>
      <c r="S8" s="7">
        <f>IF(SUMIF('Кухненска_карта'!$A$2:$A$100,$A8,'Кухненска_карта'!$R$2:$R$100)&gt;0,"Да","-")</f>
        <v/>
      </c>
      <c r="T8" s="7">
        <f>IF(SUMIF('Кухненска_карта'!$A$2:$A$100,$A8,'Кухненска_карта'!$S$2:$S$100)&gt;0,"Да","-")</f>
        <v/>
      </c>
      <c r="U8" s="7">
        <f>IF(SUMIF('Кухненска_карта'!$A$2:$A$100,$A8,'Кухненска_карта'!$T$2:$T$100)&gt;0,"Да","-")</f>
        <v/>
      </c>
    </row>
    <row r="9">
      <c r="A9" s="5" t="inlineStr">
        <is>
          <t>Турско кафе</t>
        </is>
      </c>
      <c r="B9" s="5" t="inlineStr">
        <is>
          <t>Turkish Coffee</t>
        </is>
      </c>
      <c r="C9" s="5" t="inlineStr">
        <is>
          <t>Напитки</t>
        </is>
      </c>
      <c r="D9" s="23" t="inlineStr">
        <is>
          <t>Сварено на пясък традиционно турско кафе</t>
        </is>
      </c>
      <c r="E9" s="24" t="n">
        <v>1</v>
      </c>
      <c r="F9" s="20">
        <f>SUMIF('Кухненска_карта'!$A$2:$A$100,$A9,'Кухненска_карта'!$F$2:$F$100)</f>
        <v/>
      </c>
      <c r="G9" s="20">
        <f>IF($E9=0,0,$F9/$E9)</f>
        <v/>
      </c>
      <c r="H9" s="7">
        <f>IF(SUMIF('Кухненска_карта'!$A$2:$A$100,$A9,'Кухненска_карта'!$G$2:$G$100)&gt;0,"Да","-")</f>
        <v/>
      </c>
      <c r="I9" s="7">
        <f>IF(SUMIF('Кухненска_карта'!$A$2:$A$100,$A9,'Кухненска_карта'!$H$2:$H$100)&gt;0,"Да","-")</f>
        <v/>
      </c>
      <c r="J9" s="7">
        <f>IF(SUMIF('Кухненска_карта'!$A$2:$A$100,$A9,'Кухненска_карта'!$I$2:$I$100)&gt;0,"Да","-")</f>
        <v/>
      </c>
      <c r="K9" s="7">
        <f>IF(SUMIF('Кухненска_карта'!$A$2:$A$100,$A9,'Кухненска_карта'!$J$2:$J$100)&gt;0,"Да","-")</f>
        <v/>
      </c>
      <c r="L9" s="7">
        <f>IF(SUMIF('Кухненска_карта'!$A$2:$A$100,$A9,'Кухненска_карта'!$K$2:$K$100)&gt;0,"Да","-")</f>
        <v/>
      </c>
      <c r="M9" s="7">
        <f>IF(SUMIF('Кухненска_карта'!$A$2:$A$100,$A9,'Кухненска_карта'!$L$2:$L$100)&gt;0,"Да","-")</f>
        <v/>
      </c>
      <c r="N9" s="7">
        <f>IF(SUMIF('Кухненска_карта'!$A$2:$A$100,$A9,'Кухненска_карта'!$M$2:$M$100)&gt;0,"Да","-")</f>
        <v/>
      </c>
      <c r="O9" s="7">
        <f>IF(SUMIF('Кухненска_карта'!$A$2:$A$100,$A9,'Кухненска_карта'!$N$2:$N$100)&gt;0,"Да","-")</f>
        <v/>
      </c>
      <c r="P9" s="7">
        <f>IF(SUMIF('Кухненска_карта'!$A$2:$A$100,$A9,'Кухненска_карта'!$O$2:$O$100)&gt;0,"Да","-")</f>
        <v/>
      </c>
      <c r="Q9" s="7">
        <f>IF(SUMIF('Кухненска_карта'!$A$2:$A$100,$A9,'Кухненска_карта'!$P$2:$P$100)&gt;0,"Да","-")</f>
        <v/>
      </c>
      <c r="R9" s="7">
        <f>IF(SUMIF('Кухненска_карта'!$A$2:$A$100,$A9,'Кухненска_карта'!$Q$2:$Q$100)&gt;0,"Да","-")</f>
        <v/>
      </c>
      <c r="S9" s="7">
        <f>IF(SUMIF('Кухненска_карта'!$A$2:$A$100,$A9,'Кухненска_карта'!$R$2:$R$100)&gt;0,"Да","-")</f>
        <v/>
      </c>
      <c r="T9" s="7">
        <f>IF(SUMIF('Кухненска_карта'!$A$2:$A$100,$A9,'Кухненска_карта'!$S$2:$S$100)&gt;0,"Да","-")</f>
        <v/>
      </c>
      <c r="U9" s="7">
        <f>IF(SUMIF('Кухненска_карта'!$A$2:$A$100,$A9,'Кухненска_карта'!$T$2:$T$100)&gt;0,"Да","-")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20" customWidth="1" min="5" max="5"/>
    <col width="14" customWidth="1" min="6" max="6"/>
    <col width="12" customWidth="1" min="7" max="7"/>
    <col width="16" customWidth="1" min="8" max="8"/>
  </cols>
  <sheetData>
    <row r="1">
      <c r="A1" s="25" t="inlineStr">
        <is>
          <t>Целеви food cost %:</t>
        </is>
      </c>
      <c r="B1" s="26" t="n">
        <v>0.3</v>
      </c>
      <c r="C1" s="9" t="inlineStr">
        <is>
          <t>(жълто = въведи целевия % тук; всички редове по-долу го ползват)</t>
        </is>
      </c>
    </row>
    <row r="3">
      <c r="A3" s="4" t="inlineStr">
        <is>
          <t>Рецепта</t>
        </is>
      </c>
      <c r="B3" s="4" t="inlineStr">
        <is>
          <t>Себестойност/порция (лв)</t>
        </is>
      </c>
      <c r="C3" s="4" t="inlineStr">
        <is>
          <t>Целеви food cost %</t>
        </is>
      </c>
      <c r="D3" s="4" t="inlineStr">
        <is>
          <t>Предложена цена (лв)</t>
        </is>
      </c>
      <c r="E3" s="4" t="inlineStr">
        <is>
          <t>Актуална цена в менюто (лв)</t>
        </is>
      </c>
      <c r="F3" s="4" t="inlineStr">
        <is>
          <t>Реален food cost %</t>
        </is>
      </c>
      <c r="G3" s="4" t="inlineStr">
        <is>
          <t>Марж (лв)</t>
        </is>
      </c>
      <c r="H3" s="4" t="inlineStr">
        <is>
          <t>Статус</t>
        </is>
      </c>
    </row>
    <row r="4">
      <c r="A4" s="19">
        <f>INDEX('Рецепти'!$A:$A,2)</f>
        <v/>
      </c>
      <c r="B4" s="20">
        <f>INDEX('Рецепти'!$G:$G,2)</f>
        <v/>
      </c>
      <c r="C4" s="27">
        <f>$B$1</f>
        <v/>
      </c>
      <c r="D4" s="20">
        <f>IF($C4=0,0,$B4/$C4)</f>
        <v/>
      </c>
      <c r="E4" s="6" t="n">
        <v>0</v>
      </c>
      <c r="F4" s="28">
        <f>IF($E4=0,0,$B4/$E4)</f>
        <v/>
      </c>
      <c r="G4" s="20">
        <f>$E4-$B4</f>
        <v/>
      </c>
      <c r="H4" s="5">
        <f>IF($E4=0,"Въведи цена",IF($F4&gt;$C4,"⚠ Над таргета","OK"))</f>
        <v/>
      </c>
    </row>
    <row r="5">
      <c r="A5" s="19">
        <f>INDEX('Рецепти'!$A:$A,3)</f>
        <v/>
      </c>
      <c r="B5" s="20">
        <f>INDEX('Рецепти'!$G:$G,3)</f>
        <v/>
      </c>
      <c r="C5" s="27">
        <f>$B$1</f>
        <v/>
      </c>
      <c r="D5" s="20">
        <f>IF($C5=0,0,$B5/$C5)</f>
        <v/>
      </c>
      <c r="E5" s="6" t="n">
        <v>0</v>
      </c>
      <c r="F5" s="28">
        <f>IF($E5=0,0,$B5/$E5)</f>
        <v/>
      </c>
      <c r="G5" s="20">
        <f>$E5-$B5</f>
        <v/>
      </c>
      <c r="H5" s="5">
        <f>IF($E5=0,"Въведи цена",IF($F5&gt;$C5,"⚠ Над таргета","OK"))</f>
        <v/>
      </c>
    </row>
    <row r="6">
      <c r="A6" s="19">
        <f>INDEX('Рецепти'!$A:$A,4)</f>
        <v/>
      </c>
      <c r="B6" s="20">
        <f>INDEX('Рецепти'!$G:$G,4)</f>
        <v/>
      </c>
      <c r="C6" s="27">
        <f>$B$1</f>
        <v/>
      </c>
      <c r="D6" s="20">
        <f>IF($C6=0,0,$B6/$C6)</f>
        <v/>
      </c>
      <c r="E6" s="6" t="n">
        <v>0</v>
      </c>
      <c r="F6" s="28">
        <f>IF($E6=0,0,$B6/$E6)</f>
        <v/>
      </c>
      <c r="G6" s="20">
        <f>$E6-$B6</f>
        <v/>
      </c>
      <c r="H6" s="5">
        <f>IF($E6=0,"Въведи цена",IF($F6&gt;$C6,"⚠ Над таргета","OK"))</f>
        <v/>
      </c>
    </row>
    <row r="7">
      <c r="A7" s="19">
        <f>INDEX('Рецепти'!$A:$A,5)</f>
        <v/>
      </c>
      <c r="B7" s="20">
        <f>INDEX('Рецепти'!$G:$G,5)</f>
        <v/>
      </c>
      <c r="C7" s="27">
        <f>$B$1</f>
        <v/>
      </c>
      <c r="D7" s="20">
        <f>IF($C7=0,0,$B7/$C7)</f>
        <v/>
      </c>
      <c r="E7" s="6" t="n">
        <v>0</v>
      </c>
      <c r="F7" s="28">
        <f>IF($E7=0,0,$B7/$E7)</f>
        <v/>
      </c>
      <c r="G7" s="20">
        <f>$E7-$B7</f>
        <v/>
      </c>
      <c r="H7" s="5">
        <f>IF($E7=0,"Въведи цена",IF($F7&gt;$C7,"⚠ Над таргета","OK"))</f>
        <v/>
      </c>
    </row>
    <row r="8">
      <c r="A8" s="19">
        <f>INDEX('Рецепти'!$A:$A,6)</f>
        <v/>
      </c>
      <c r="B8" s="20">
        <f>INDEX('Рецепти'!$G:$G,6)</f>
        <v/>
      </c>
      <c r="C8" s="27">
        <f>$B$1</f>
        <v/>
      </c>
      <c r="D8" s="20">
        <f>IF($C8=0,0,$B8/$C8)</f>
        <v/>
      </c>
      <c r="E8" s="6" t="n">
        <v>0</v>
      </c>
      <c r="F8" s="28">
        <f>IF($E8=0,0,$B8/$E8)</f>
        <v/>
      </c>
      <c r="G8" s="20">
        <f>$E8-$B8</f>
        <v/>
      </c>
      <c r="H8" s="5">
        <f>IF($E8=0,"Въведи цена",IF($F8&gt;$C8,"⚠ Над таргета","OK"))</f>
        <v/>
      </c>
    </row>
    <row r="9">
      <c r="A9" s="19">
        <f>INDEX('Рецепти'!$A:$A,7)</f>
        <v/>
      </c>
      <c r="B9" s="20">
        <f>INDEX('Рецепти'!$G:$G,7)</f>
        <v/>
      </c>
      <c r="C9" s="27">
        <f>$B$1</f>
        <v/>
      </c>
      <c r="D9" s="20">
        <f>IF($C9=0,0,$B9/$C9)</f>
        <v/>
      </c>
      <c r="E9" s="6" t="n">
        <v>0</v>
      </c>
      <c r="F9" s="28">
        <f>IF($E9=0,0,$B9/$E9)</f>
        <v/>
      </c>
      <c r="G9" s="20">
        <f>$E9-$B9</f>
        <v/>
      </c>
      <c r="H9" s="5">
        <f>IF($E9=0,"Въведи цена",IF($F9&gt;$C9,"⚠ Над таргета","OK"))</f>
        <v/>
      </c>
    </row>
    <row r="10">
      <c r="A10" s="19">
        <f>INDEX('Рецепти'!$A:$A,8)</f>
        <v/>
      </c>
      <c r="B10" s="20">
        <f>INDEX('Рецепти'!$G:$G,8)</f>
        <v/>
      </c>
      <c r="C10" s="27">
        <f>$B$1</f>
        <v/>
      </c>
      <c r="D10" s="20">
        <f>IF($C10=0,0,$B10/$C10)</f>
        <v/>
      </c>
      <c r="E10" s="6" t="n">
        <v>0</v>
      </c>
      <c r="F10" s="28">
        <f>IF($E10=0,0,$B10/$E10)</f>
        <v/>
      </c>
      <c r="G10" s="20">
        <f>$E10-$B10</f>
        <v/>
      </c>
      <c r="H10" s="5">
        <f>IF($E10=0,"Въведи цена",IF($F10&gt;$C10,"⚠ Над таргета","OK"))</f>
        <v/>
      </c>
    </row>
    <row r="11">
      <c r="A11" s="19">
        <f>INDEX('Рецепти'!$A:$A,9)</f>
        <v/>
      </c>
      <c r="B11" s="20">
        <f>INDEX('Рецепти'!$G:$G,9)</f>
        <v/>
      </c>
      <c r="C11" s="27">
        <f>$B$1</f>
        <v/>
      </c>
      <c r="D11" s="20">
        <f>IF($C11=0,0,$B11/$C11)</f>
        <v/>
      </c>
      <c r="E11" s="6" t="n">
        <v>0</v>
      </c>
      <c r="F11" s="28">
        <f>IF($E11=0,0,$B11/$E11)</f>
        <v/>
      </c>
      <c r="G11" s="20">
        <f>$E11-$B11</f>
        <v/>
      </c>
      <c r="H11" s="5">
        <f>IF($E11=0,"Въведи цена",IF($F11&gt;$C11,"⚠ Над таргета","OK"))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</cols>
  <sheetData>
    <row r="1" ht="26" customHeight="1">
      <c r="A1" s="29" t="inlineStr">
        <is>
          <t>БЯЛА КЪЩА · Турска кухня</t>
        </is>
      </c>
    </row>
    <row r="3">
      <c r="A3" s="30" t="inlineStr">
        <is>
          <t>ПРЕДЯСТИЯ</t>
        </is>
      </c>
    </row>
    <row r="4" ht="28" customHeight="1">
      <c r="A4" s="25">
        <f>INDEX('Рецепти'!$A:$A,2)&amp;" / "&amp;INDEX('Рецепти'!$B:$B,2)</f>
        <v/>
      </c>
      <c r="B4" s="31">
        <f>INDEX('Рецепти'!$D:$D,2)</f>
        <v/>
      </c>
      <c r="D4" s="32">
        <f>INDEX('Ценообразуване'!$E:$E,4)</f>
        <v/>
      </c>
    </row>
    <row r="5" ht="28" customHeight="1">
      <c r="A5" s="25">
        <f>INDEX('Рецепти'!$A:$A,3)&amp;" / "&amp;INDEX('Рецепти'!$B:$B,3)</f>
        <v/>
      </c>
      <c r="B5" s="31">
        <f>INDEX('Рецепти'!$D:$D,3)</f>
        <v/>
      </c>
      <c r="D5" s="32">
        <f>INDEX('Ценообразуване'!$E:$E,5)</f>
        <v/>
      </c>
    </row>
    <row r="7">
      <c r="A7" s="30" t="inlineStr">
        <is>
          <t>ОСНОВНИ</t>
        </is>
      </c>
    </row>
    <row r="8" ht="28" customHeight="1">
      <c r="A8" s="25">
        <f>INDEX('Рецепти'!$A:$A,4)&amp;" / "&amp;INDEX('Рецепти'!$B:$B,4)</f>
        <v/>
      </c>
      <c r="B8" s="31">
        <f>INDEX('Рецепти'!$D:$D,4)</f>
        <v/>
      </c>
      <c r="D8" s="32">
        <f>INDEX('Ценообразуване'!$E:$E,6)</f>
        <v/>
      </c>
    </row>
    <row r="9" ht="28" customHeight="1">
      <c r="A9" s="25">
        <f>INDEX('Рецепти'!$A:$A,5)&amp;" / "&amp;INDEX('Рецепти'!$B:$B,5)</f>
        <v/>
      </c>
      <c r="B9" s="31">
        <f>INDEX('Рецепти'!$D:$D,5)</f>
        <v/>
      </c>
      <c r="D9" s="32">
        <f>INDEX('Ценообразуване'!$E:$E,7)</f>
        <v/>
      </c>
    </row>
    <row r="10" ht="28" customHeight="1">
      <c r="A10" s="25">
        <f>INDEX('Рецепти'!$A:$A,6)&amp;" / "&amp;INDEX('Рецепти'!$B:$B,6)</f>
        <v/>
      </c>
      <c r="B10" s="31">
        <f>INDEX('Рецепти'!$D:$D,6)</f>
        <v/>
      </c>
      <c r="D10" s="32">
        <f>INDEX('Ценообразуване'!$E:$E,8)</f>
        <v/>
      </c>
    </row>
    <row r="12">
      <c r="A12" s="30" t="inlineStr">
        <is>
          <t>ДЕСЕРТИ</t>
        </is>
      </c>
    </row>
    <row r="13" ht="28" customHeight="1">
      <c r="A13" s="25">
        <f>INDEX('Рецепти'!$A:$A,7)&amp;" / "&amp;INDEX('Рецепти'!$B:$B,7)</f>
        <v/>
      </c>
      <c r="B13" s="31">
        <f>INDEX('Рецепти'!$D:$D,7)</f>
        <v/>
      </c>
      <c r="D13" s="32">
        <f>INDEX('Ценообразуване'!$E:$E,9)</f>
        <v/>
      </c>
    </row>
    <row r="14" ht="28" customHeight="1">
      <c r="A14" s="25">
        <f>INDEX('Рецепти'!$A:$A,8)&amp;" / "&amp;INDEX('Рецепти'!$B:$B,8)</f>
        <v/>
      </c>
      <c r="B14" s="31">
        <f>INDEX('Рецепти'!$D:$D,8)</f>
        <v/>
      </c>
      <c r="D14" s="32">
        <f>INDEX('Ценообразуване'!$E:$E,10)</f>
        <v/>
      </c>
    </row>
    <row r="16">
      <c r="A16" s="30" t="inlineStr">
        <is>
          <t>НАПИТКИ</t>
        </is>
      </c>
    </row>
    <row r="17" ht="28" customHeight="1">
      <c r="A17" s="25">
        <f>INDEX('Рецепти'!$A:$A,9)&amp;" / "&amp;INDEX('Рецепти'!$B:$B,9)</f>
        <v/>
      </c>
      <c r="B17" s="31">
        <f>INDEX('Рецепти'!$D:$D,9)</f>
        <v/>
      </c>
      <c r="D17" s="32">
        <f>INDEX('Ценообразуване'!$E:$E,11)</f>
        <v/>
      </c>
    </row>
  </sheetData>
  <mergeCells count="21">
    <mergeCell ref="A8"/>
    <mergeCell ref="A17"/>
    <mergeCell ref="A4"/>
    <mergeCell ref="A10"/>
    <mergeCell ref="A13"/>
    <mergeCell ref="A9"/>
    <mergeCell ref="B14:C14"/>
    <mergeCell ref="B17:C17"/>
    <mergeCell ref="B8:C8"/>
    <mergeCell ref="B13:C13"/>
    <mergeCell ref="A1:D1"/>
    <mergeCell ref="B10:C10"/>
    <mergeCell ref="A7:D7"/>
    <mergeCell ref="A16:D16"/>
    <mergeCell ref="B9:C9"/>
    <mergeCell ref="A12:D12"/>
    <mergeCell ref="B5:C5"/>
    <mergeCell ref="A3:D3"/>
    <mergeCell ref="A14"/>
    <mergeCell ref="B4:C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2026-09-13T19:09:30Z</dcterms:created>
  <dcterms:modified xsi:type="dcterms:W3CDTF">2026-09-13T19:09:30Z</dcterms:modified>
</cp:coreProperties>
</file>